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30A89EC5-3CC2-4B07-AD08-1F693BEE425E}" xr6:coauthVersionLast="47" xr6:coauthVersionMax="47" xr10:uidLastSave="{00000000-0000-0000-0000-000000000000}"/>
  <bookViews>
    <workbookView xWindow="-120" yWindow="-120" windowWidth="29040" windowHeight="15720" firstSheet="1" activeTab="4" xr2:uid="{2E848250-33C3-4DDC-94CC-6D6535DC1E39}"/>
  </bookViews>
  <sheets>
    <sheet name="range" sheetId="1" r:id="rId1"/>
    <sheet name="PT RANGE" sheetId="3" r:id="rId2"/>
    <sheet name="table" sheetId="2" r:id="rId3"/>
    <sheet name="PT TABLE" sheetId="4" r:id="rId4"/>
    <sheet name="dashbord home" sheetId="8" r:id="rId5"/>
    <sheet name="dashbord details" sheetId="9" r:id="rId6"/>
    <sheet name=" dashbord map" sheetId="10" r:id="rId7"/>
  </sheets>
  <definedNames>
    <definedName name="_xlchart.v5.0" hidden="1">'PT TABLE'!$AJ$3</definedName>
    <definedName name="_xlchart.v5.1" hidden="1">'PT TABLE'!$AJ$4:$AJ$43</definedName>
    <definedName name="_xlchart.v5.2" hidden="1">'PT TABLE'!$AK$3</definedName>
    <definedName name="_xlchart.v5.3" hidden="1">'PT TABLE'!$AK$4:$AK$43</definedName>
    <definedName name="_xlchart.v5.4" hidden="1">'PT TABLE'!$AJ$3</definedName>
    <definedName name="_xlchart.v5.5" hidden="1">'PT TABLE'!$AJ$4:$AJ$43</definedName>
    <definedName name="_xlchart.v5.6" hidden="1">'PT TABLE'!$AK$3</definedName>
    <definedName name="_xlchart.v5.7" hidden="1">'PT TABLE'!$AK$4:$AK$43</definedName>
    <definedName name="NativeTimeline_Order_Date">#N/A</definedName>
    <definedName name="Slicer_Category">#N/A</definedName>
    <definedName name="Slicer_Region">#N/A</definedName>
    <definedName name="Slicer_Ship_Mode">#N/A</definedName>
  </definedNames>
  <calcPr calcId="191029"/>
  <pivotCaches>
    <pivotCache cacheId="0" r:id="rId8"/>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4" l="1"/>
  <c r="AK3" i="4"/>
  <c r="AJ4" i="4"/>
  <c r="AK4" i="4"/>
  <c r="AJ5" i="4"/>
  <c r="AK5" i="4"/>
  <c r="J2" i="8"/>
  <c r="AB2" i="10"/>
  <c r="AB2" i="9"/>
  <c r="V2" i="8"/>
  <c r="P2" i="10"/>
  <c r="J2" i="10"/>
  <c r="P2" i="9"/>
  <c r="V2" i="10"/>
  <c r="J2" i="9"/>
  <c r="P2" i="8"/>
  <c r="AB2" i="8"/>
  <c r="V2" i="9"/>
  <c r="AJ6" i="4" l="1"/>
  <c r="AK6" i="4"/>
  <c r="AJ7" i="4"/>
  <c r="AK7" i="4"/>
  <c r="AJ8" i="4"/>
  <c r="AK8" i="4"/>
  <c r="AJ9" i="4"/>
  <c r="AK9" i="4"/>
  <c r="AJ10" i="4"/>
  <c r="AK10" i="4"/>
  <c r="AJ11" i="4"/>
  <c r="AK11" i="4"/>
  <c r="AJ12" i="4"/>
  <c r="AK12" i="4"/>
  <c r="AJ13" i="4"/>
  <c r="AK13" i="4"/>
  <c r="AJ14" i="4"/>
  <c r="AK14" i="4"/>
  <c r="AJ15" i="4"/>
  <c r="AK15" i="4"/>
  <c r="AJ16" i="4"/>
  <c r="AK16" i="4"/>
  <c r="AJ17" i="4"/>
  <c r="AK17" i="4"/>
  <c r="AJ18" i="4"/>
  <c r="AK18" i="4"/>
  <c r="AJ19" i="4"/>
  <c r="AK19" i="4"/>
  <c r="AJ20" i="4"/>
  <c r="AK20" i="4"/>
  <c r="AJ21" i="4"/>
  <c r="AK21" i="4"/>
  <c r="AJ22" i="4"/>
  <c r="AK22" i="4"/>
  <c r="AJ23" i="4"/>
  <c r="AK23" i="4"/>
  <c r="AJ24" i="4"/>
  <c r="AK24" i="4"/>
  <c r="AJ25" i="4"/>
  <c r="AK25" i="4"/>
  <c r="AJ26" i="4"/>
  <c r="AK26" i="4"/>
  <c r="AJ27" i="4"/>
  <c r="AK27" i="4"/>
  <c r="AJ28" i="4"/>
  <c r="AK28" i="4"/>
  <c r="AJ29" i="4"/>
  <c r="AK29" i="4"/>
  <c r="AJ30" i="4"/>
  <c r="AK30" i="4"/>
  <c r="AJ31" i="4"/>
  <c r="AK31" i="4"/>
  <c r="AJ32" i="4"/>
  <c r="AK32" i="4"/>
  <c r="AJ33" i="4"/>
  <c r="AK33" i="4"/>
  <c r="AJ34" i="4"/>
  <c r="AK34" i="4"/>
  <c r="AJ35" i="4"/>
  <c r="AK35" i="4"/>
  <c r="AJ36" i="4"/>
  <c r="AK36" i="4"/>
  <c r="AJ37" i="4"/>
  <c r="AK37" i="4"/>
  <c r="AJ38" i="4"/>
  <c r="AK38" i="4"/>
  <c r="AJ39" i="4"/>
  <c r="AK39" i="4"/>
  <c r="AJ40" i="4"/>
  <c r="AK40" i="4"/>
  <c r="AJ41" i="4"/>
  <c r="AK41" i="4"/>
  <c r="AJ42" i="4"/>
  <c r="AK42" i="4"/>
  <c r="AJ43" i="4"/>
  <c r="AK43" i="4"/>
</calcChain>
</file>

<file path=xl/sharedStrings.xml><?xml version="1.0" encoding="utf-8"?>
<sst xmlns="http://schemas.openxmlformats.org/spreadsheetml/2006/main" count="18181" uniqueCount="1875">
  <si>
    <t>Row ID</t>
  </si>
  <si>
    <t>Order ID</t>
  </si>
  <si>
    <t>Order Date</t>
  </si>
  <si>
    <t>Ship Mode</t>
  </si>
  <si>
    <t>Customer Name</t>
  </si>
  <si>
    <t>City</t>
  </si>
  <si>
    <t>State</t>
  </si>
  <si>
    <t>Region</t>
  </si>
  <si>
    <t>Category</t>
  </si>
  <si>
    <t>Sub-Category</t>
  </si>
  <si>
    <t>Product Name</t>
  </si>
  <si>
    <t>Sales</t>
  </si>
  <si>
    <t>Quantity</t>
  </si>
  <si>
    <t>Discount</t>
  </si>
  <si>
    <t>Profit</t>
  </si>
  <si>
    <t>CA-2018-152156</t>
  </si>
  <si>
    <t>Second Class</t>
  </si>
  <si>
    <t>Claire Gute</t>
  </si>
  <si>
    <t>Henderson</t>
  </si>
  <si>
    <t>Kentucky</t>
  </si>
  <si>
    <t>South</t>
  </si>
  <si>
    <t>Furniture</t>
  </si>
  <si>
    <t>Bookcases</t>
  </si>
  <si>
    <t>Bush Somerset Collection Bookcase</t>
  </si>
  <si>
    <t>Chairs</t>
  </si>
  <si>
    <t>Hon Deluxe Fabric Upholstered Stacking Chairs, Rounded Back</t>
  </si>
  <si>
    <t>CA-2018-138688</t>
  </si>
  <si>
    <t>Darrin Van Huff</t>
  </si>
  <si>
    <t>Los Angeles</t>
  </si>
  <si>
    <t>California</t>
  </si>
  <si>
    <t>West</t>
  </si>
  <si>
    <t>Office Supplies</t>
  </si>
  <si>
    <t>Labels</t>
  </si>
  <si>
    <t>Self-Adhesive Address Labels for Typewriters by Universal</t>
  </si>
  <si>
    <t>US-2017-108966</t>
  </si>
  <si>
    <t>Standard Class</t>
  </si>
  <si>
    <t>Sean O'Donnell</t>
  </si>
  <si>
    <t>Fort Lauderdale</t>
  </si>
  <si>
    <t>Florida</t>
  </si>
  <si>
    <t>Tables</t>
  </si>
  <si>
    <t>Bretford CR4500 Series Slim Rectangular Table</t>
  </si>
  <si>
    <t>Storage</t>
  </si>
  <si>
    <t>Eldon Fold 'N Roll Cart System</t>
  </si>
  <si>
    <t>CA-2016-115812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</si>
  <si>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</si>
  <si>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</si>
  <si>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</si>
  <si>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</si>
  <si>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</si>
  <si>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</si>
  <si>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</si>
  <si>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</si>
  <si>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</si>
  <si>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</si>
  <si>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</si>
  <si>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</si>
  <si>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</si>
  <si>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</si>
  <si>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CA-2019-114412</t>
  </si>
  <si>
    <t>Andrew Allen</t>
  </si>
  <si>
    <t>Concord</t>
  </si>
  <si>
    <t>North Carolina</t>
  </si>
  <si>
    <t>Paper</t>
  </si>
  <si>
    <t>Xerox 1967</t>
  </si>
  <si>
    <t>CA-2018-161389</t>
  </si>
  <si>
    <t>Irene Maddox</t>
  </si>
  <si>
    <t>Seattle</t>
  </si>
  <si>
    <t>Washington</t>
  </si>
  <si>
    <t>Fellowes PB200 Plastic Comb Binding Machine</t>
  </si>
  <si>
    <t>US-2017-118983</t>
  </si>
  <si>
    <t>Harold Pawlan</t>
  </si>
  <si>
    <t>Fort Worth</t>
  </si>
  <si>
    <t>Texas</t>
  </si>
  <si>
    <t>Central</t>
  </si>
  <si>
    <t>Holmes Replacement Filter for HEPA Air Cleaner, Very Large Room, HEPA Filter</t>
  </si>
  <si>
    <t>Storex DuraTech Recycled Plastic Frosted Binders</t>
  </si>
  <si>
    <t>CA-2016-105893</t>
  </si>
  <si>
    <t>Pete Kriz</t>
  </si>
  <si>
    <t>Madison</t>
  </si>
  <si>
    <t>Wisconsin</t>
  </si>
  <si>
    <t>Stur-D-Stor Shelving, Vertical 5-Shelf: 72"H x 36"W x 18 1/2"D</t>
  </si>
  <si>
    <t>CA-2016-167164</t>
  </si>
  <si>
    <t>Alejandro Grove</t>
  </si>
  <si>
    <t>West Jordan</t>
  </si>
  <si>
    <t>Utah</t>
  </si>
  <si>
    <t>Fellowes Super Stor/Drawer</t>
  </si>
  <si>
    <t>CA-2016-143336</t>
  </si>
  <si>
    <t>Zuschuss Donatelli</t>
  </si>
  <si>
    <t>San Francisco</t>
  </si>
  <si>
    <t>Newell 341</t>
  </si>
  <si>
    <t>Cisco SPA 501G IP Phone</t>
  </si>
  <si>
    <t>Wilson Jones Hanging View Binder, White, 1"</t>
  </si>
  <si>
    <t>CA-2018-137330</t>
  </si>
  <si>
    <t>Ken Black</t>
  </si>
  <si>
    <t>Fremont</t>
  </si>
  <si>
    <t>Nebraska</t>
  </si>
  <si>
    <t>Newell 318</t>
  </si>
  <si>
    <t>Acco Six-Outlet Power Strip, 4' Cord Length</t>
  </si>
  <si>
    <t>US-2019-156909</t>
  </si>
  <si>
    <t>Sandra Flanagan</t>
  </si>
  <si>
    <t>Philadelphia</t>
  </si>
  <si>
    <t>Pennsylvania</t>
  </si>
  <si>
    <t>East</t>
  </si>
  <si>
    <t>Global Deluxe Stacking Chair, Gray</t>
  </si>
  <si>
    <t>CA-2017-106320</t>
  </si>
  <si>
    <t>Emily Burns</t>
  </si>
  <si>
    <t>Orem</t>
  </si>
  <si>
    <t>CA-2018-121755</t>
  </si>
  <si>
    <t>Eric Hoffmann</t>
  </si>
  <si>
    <t>Wilson Jones Active Use Binders</t>
  </si>
  <si>
    <t>Accessories</t>
  </si>
  <si>
    <t>Imation 8GB Mini TravelDrive USB 2.0 Flash Drive</t>
  </si>
  <si>
    <t>US-2017-150630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</si>
  <si>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</si>
  <si>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</si>
  <si>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</si>
  <si>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</si>
  <si>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</si>
  <si>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</si>
  <si>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</si>
  <si>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</si>
  <si>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</si>
  <si>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CA-2019-107727</t>
  </si>
  <si>
    <t>Matt Abelman</t>
  </si>
  <si>
    <t>Houston</t>
  </si>
  <si>
    <t>Easy-staple paper</t>
  </si>
  <si>
    <t>CA-2018-117590</t>
  </si>
  <si>
    <t>First Class</t>
  </si>
  <si>
    <t>Gene Hale</t>
  </si>
  <si>
    <t>Richardson</t>
  </si>
  <si>
    <t>GE 30524EE4</t>
  </si>
  <si>
    <t>Electrix Architect's Clamp-On Swing Arm Lamp, Black</t>
  </si>
  <si>
    <t>CA-2017-117415</t>
  </si>
  <si>
    <t>Steve Nguyen</t>
  </si>
  <si>
    <t>#10-4 1/8" x 9 1/2" Premium Diagonal Seam Envelopes</t>
  </si>
  <si>
    <t>Atlantic Metals Mobile 3-Shelf Bookcases, Custom Colors</t>
  </si>
  <si>
    <t>Global Fabric Manager's Chair, Dark Gray</t>
  </si>
  <si>
    <t>Plantronics HL10 Handset Lifter</t>
  </si>
  <si>
    <t>CA-2019-120999</t>
  </si>
  <si>
    <t>Linda Cazamias</t>
  </si>
  <si>
    <t>Naperville</t>
  </si>
  <si>
    <t>Illinois</t>
  </si>
  <si>
    <t>Panasonic Kx-TS550</t>
  </si>
  <si>
    <t>CA-2018-101343</t>
  </si>
  <si>
    <t>Ruben Ausman</t>
  </si>
  <si>
    <t>Eldon Base for stackable storage shelf, platinum</t>
  </si>
  <si>
    <t>CA-2019-139619</t>
  </si>
  <si>
    <t>Erin Smith</t>
  </si>
  <si>
    <t>Melbourne</t>
  </si>
  <si>
    <t>Advantus 10-Drawer Portable Organizer, Chrome Metal Frame, Smoke Drawers</t>
  </si>
  <si>
    <t>CA-2018-118255</t>
  </si>
  <si>
    <t>Odella Nelson</t>
  </si>
  <si>
    <t>Eagan</t>
  </si>
  <si>
    <t>Minnesota</t>
  </si>
  <si>
    <t>Verbatim 25 GB 6x Blu-ray Single Layer Recordable Disc, 25/Pack</t>
  </si>
  <si>
    <t>Wilson Jones Leather-Like Binders with DublLock Round Rings</t>
  </si>
  <si>
    <t>CA-2016-146703</t>
  </si>
  <si>
    <t>Patrick O'Donnell</t>
  </si>
  <si>
    <t>Westland</t>
  </si>
  <si>
    <t>Michigan</t>
  </si>
  <si>
    <t>Gould Plastics 9-Pocket Panel Bin, 18-3/8w x 5-1/4d x 20-1/2h, Black</t>
  </si>
  <si>
    <t>CA-2018-169194</t>
  </si>
  <si>
    <t>Lena Hernandez</t>
  </si>
  <si>
    <t>Dover</t>
  </si>
  <si>
    <t>Delaware</t>
  </si>
  <si>
    <t>Imation 8gb Micro Traveldrive Usb 2.0 Flash Drive</t>
  </si>
  <si>
    <t>LF Elite 3D Dazzle Designer Hard Case Cover, Lf Stylus Pen and Wiper For Apple Iphone 5c Mini Lite</t>
  </si>
  <si>
    <t>CA-2017-115742</t>
  </si>
  <si>
    <t>Darren Powers</t>
  </si>
  <si>
    <t>New Albany</t>
  </si>
  <si>
    <t>Indiana</t>
  </si>
  <si>
    <t>C-Line Peel &amp; Stick Add-On Filing Pockets, 8-3/4 x 5-1/8, 10/Pack</t>
  </si>
  <si>
    <t>Avery 485</t>
  </si>
  <si>
    <t>Longer-Life Soft White Bulbs</t>
  </si>
  <si>
    <t>Global Leather Task Chair, Black</t>
  </si>
  <si>
    <t>CA-2018-105816</t>
  </si>
  <si>
    <t>Janet Molinari</t>
  </si>
  <si>
    <t>New York City</t>
  </si>
  <si>
    <t>New York</t>
  </si>
  <si>
    <t>Fasteners</t>
  </si>
  <si>
    <t>Advantus Push Pins</t>
  </si>
  <si>
    <t>AT&amp;T CL83451 4-Handset Telephone</t>
  </si>
  <si>
    <t>CA-2018-111682</t>
  </si>
  <si>
    <t>Ted Butterfield</t>
  </si>
  <si>
    <t>Troy</t>
  </si>
  <si>
    <t>Home/Office Personal File Carts</t>
  </si>
  <si>
    <t>Xerox 232</t>
  </si>
  <si>
    <t>Novimex Turbo Task Chair</t>
  </si>
  <si>
    <t>Array Parchment Paper, Assorted Colors</t>
  </si>
  <si>
    <t>Plastic Binding Combs</t>
  </si>
  <si>
    <t>Prang Dustless Chalk Sticks</t>
  </si>
  <si>
    <t>CA-2017-135545</t>
  </si>
  <si>
    <t>Kunst Miller</t>
  </si>
  <si>
    <t>Verbatim 25 GB 6x Blu-ray Single Layer Recordable Disc, 3/Pack</t>
  </si>
  <si>
    <t>Acco PRESSTEX Data Binder with Storage Hooks, Dark Blue, 14 7/8" X 11"</t>
  </si>
  <si>
    <t>Xerox 1943</t>
  </si>
  <si>
    <t>Luxo Economy Swing Arm Lamp</t>
  </si>
  <si>
    <t>US-2017-164175</t>
  </si>
  <si>
    <t>Paul Stevenson</t>
  </si>
  <si>
    <t>Chicago</t>
  </si>
  <si>
    <t>Global Value Mid-Back Manager's Chair, Gray</t>
  </si>
  <si>
    <t>CA-2016-106376</t>
  </si>
  <si>
    <t>Brendan Sweed</t>
  </si>
  <si>
    <t>Gilbert</t>
  </si>
  <si>
    <t>Arizona</t>
  </si>
  <si>
    <t>Hunt BOSTON Model 1606 High-Volume Electric Pencil Sharpener, Beige</t>
  </si>
  <si>
    <t>netTALK DUO VoIP Telephone Service</t>
  </si>
  <si>
    <t>CA-2018-119823</t>
  </si>
  <si>
    <t>Karen Daniels</t>
  </si>
  <si>
    <t>Springfield</t>
  </si>
  <si>
    <t>Virginia</t>
  </si>
  <si>
    <t>Snap-A-Way Black Print Carbonless Ruled Speed Letter, Triplicate</t>
  </si>
  <si>
    <t>CA-2018-106075</t>
  </si>
  <si>
    <t>Henry MacAllister</t>
  </si>
  <si>
    <t>Avery Binding System Hidden Tab Executive Style Index Sets</t>
  </si>
  <si>
    <t>CA-2019-114440</t>
  </si>
  <si>
    <t>Jackson</t>
  </si>
  <si>
    <t>Telephone Message Books with Fax/Mobile Section, 5 1/2" x 3 3/16"</t>
  </si>
  <si>
    <t>US-2017-134026</t>
  </si>
  <si>
    <t>Joel Eaton</t>
  </si>
  <si>
    <t>Memphis</t>
  </si>
  <si>
    <t>Tennessee</t>
  </si>
  <si>
    <t>High-Back Leather Manager's Chair</t>
  </si>
  <si>
    <t>Tenex Traditional Chairmats for Medium Pile Carpet, Standard Lip, 36" x 48"</t>
  </si>
  <si>
    <t>Safco Industrial Wire Shelving System</t>
  </si>
  <si>
    <t>US-2019-118038</t>
  </si>
  <si>
    <t>Ken Brennan</t>
  </si>
  <si>
    <t>Economy Binders</t>
  </si>
  <si>
    <t>6" Cubicle Wall Clock, Black</t>
  </si>
  <si>
    <t>SimpliFile Personal File, Black Granite, 15w x 6-15/16d x 11-1/4h</t>
  </si>
  <si>
    <t>US-2016-147606</t>
  </si>
  <si>
    <t>Eldon Expressions Desk Accessory, Wood Pencil Holder, Oak</t>
  </si>
  <si>
    <t>CA-2018-127208</t>
  </si>
  <si>
    <t>Stewart Carmichael</t>
  </si>
  <si>
    <t>Decatur</t>
  </si>
  <si>
    <t>Alabama</t>
  </si>
  <si>
    <t>1.7 Cubic Foot Compact "Cube" Office Refrigerators</t>
  </si>
  <si>
    <t>Avery Heavy-Duty EZD  Binder With Locking Rings</t>
  </si>
  <si>
    <t>CA-2016-139451</t>
  </si>
  <si>
    <t>Duane Noonan</t>
  </si>
  <si>
    <t>Premium Writing Pencils, Soft, #2 by Central Association for the Blind</t>
  </si>
  <si>
    <t>Sortfiler Multipurpose Personal File Organizer, Black</t>
  </si>
  <si>
    <t>CA-2017-149734</t>
  </si>
  <si>
    <t>Julie Creighton</t>
  </si>
  <si>
    <t>Durham</t>
  </si>
  <si>
    <t>Jet-Pak Recycled Peel 'N' Seal Padded Mailers</t>
  </si>
  <si>
    <t>US-2019-119662</t>
  </si>
  <si>
    <t>Christopher Schild</t>
  </si>
  <si>
    <t>Safco Industrial Wire Shelving</t>
  </si>
  <si>
    <t>CA-2019-140088</t>
  </si>
  <si>
    <t>Columbia</t>
  </si>
  <si>
    <t>South Carolina</t>
  </si>
  <si>
    <t>Novimex Swivel Fabric Task Chair</t>
  </si>
  <si>
    <t>CA-2019-155558</t>
  </si>
  <si>
    <t>Paul Gonzalez</t>
  </si>
  <si>
    <t>Rochester</t>
  </si>
  <si>
    <t>Logitech LS21 Speaker System - PC Multimedia - 2.1-CH - Wired</t>
  </si>
  <si>
    <t>Avery 511</t>
  </si>
  <si>
    <t>CA-2018-159695</t>
  </si>
  <si>
    <t>Gary Mitchum</t>
  </si>
  <si>
    <t>Eldon Portable Mobile Manager</t>
  </si>
  <si>
    <t>CA-2018-109806</t>
  </si>
  <si>
    <t>Jim Sink</t>
  </si>
  <si>
    <t>Turquoise Lead Holder with Pocket Clip</t>
  </si>
  <si>
    <t>Xerox 1995</t>
  </si>
  <si>
    <t>CA-2017-149587</t>
  </si>
  <si>
    <t>Karl Braun</t>
  </si>
  <si>
    <t>Minneapolis</t>
  </si>
  <si>
    <t>Xerox 1999</t>
  </si>
  <si>
    <t>Seth Thomas 13 1/2" Wall Clock</t>
  </si>
  <si>
    <t>Ibico Standard Transparent Covers</t>
  </si>
  <si>
    <t>US-2019-109484</t>
  </si>
  <si>
    <t>Roger Barcio</t>
  </si>
  <si>
    <t>Portland</t>
  </si>
  <si>
    <t>Oregon</t>
  </si>
  <si>
    <t>Flexible Leather- Look Classic Collection Ring Binder</t>
  </si>
  <si>
    <t>CA-2019-161018</t>
  </si>
  <si>
    <t>Parhena Norris</t>
  </si>
  <si>
    <t>9-3/4 Diameter Round Wall Clock</t>
  </si>
  <si>
    <t>CA-2019-157833</t>
  </si>
  <si>
    <t>Katherine Ducich</t>
  </si>
  <si>
    <t>Trimflex Flexible Post Binders</t>
  </si>
  <si>
    <t>CA-2018-149223</t>
  </si>
  <si>
    <t>Elpida Rittenbach</t>
  </si>
  <si>
    <t>Saint Paul</t>
  </si>
  <si>
    <t>Fellowes Basic Home/Office Series Surge Protectors</t>
  </si>
  <si>
    <t>CA-2018-158568</t>
  </si>
  <si>
    <t>Rick Bensley</t>
  </si>
  <si>
    <t>Avery Personal Creations Heavyweight Cards</t>
  </si>
  <si>
    <t>SanDisk Ultra 64 GB MicroSDHC Class 10 Memory Card</t>
  </si>
  <si>
    <t>Avery Hidden Tab Dividers for Binding Systems</t>
  </si>
  <si>
    <t>CA-2018-129903</t>
  </si>
  <si>
    <t>Gary Zandusky</t>
  </si>
  <si>
    <t>Universal Premium White Copier/Laser Paper (20Lb. and 87 Bright)</t>
  </si>
  <si>
    <t>US-2017-156867</t>
  </si>
  <si>
    <t>Lena Cacioppo</t>
  </si>
  <si>
    <t>Aurora</t>
  </si>
  <si>
    <t>Colorado</t>
  </si>
  <si>
    <t>Logitech K350 2.4Ghz Wireless Keyboard</t>
  </si>
  <si>
    <t>Deflect-o DuraMat Lighweight, Studded, Beveled Mat for Low Pile Carpeting</t>
  </si>
  <si>
    <t>Avery Trapezoid Ring Binder, 3" Capacity, Black, 1040 sheets</t>
  </si>
  <si>
    <t>CA-2019-119004</t>
  </si>
  <si>
    <t>Janet Martin</t>
  </si>
  <si>
    <t>Charlotte</t>
  </si>
  <si>
    <t>Memorex Mini Travel Drive 8 GB USB 2.0 Flash Drive</t>
  </si>
  <si>
    <t>Speck Products Candyshell Flip Case</t>
  </si>
  <si>
    <t>Newell Chalk Holder</t>
  </si>
  <si>
    <t>CA-2017-129476</t>
  </si>
  <si>
    <t>Pete Armstrong</t>
  </si>
  <si>
    <t>Orland Park</t>
  </si>
  <si>
    <t>Logitech Gaming G510s - Keyboard</t>
  </si>
  <si>
    <t>CA-2019-146780</t>
  </si>
  <si>
    <t>Cynthia Voltz</t>
  </si>
  <si>
    <t>Magnifier Swing Arm Lamp</t>
  </si>
  <si>
    <t>CA-2018-128867</t>
  </si>
  <si>
    <t>Clay Ludtke</t>
  </si>
  <si>
    <t>Urbandale</t>
  </si>
  <si>
    <t>Iowa</t>
  </si>
  <si>
    <t>Hunt PowerHouse Electric Pencil Sharpener, Blue</t>
  </si>
  <si>
    <t>Avery Durable Plastic 1" Binders</t>
  </si>
  <si>
    <t>CA-2016-115259</t>
  </si>
  <si>
    <t>Ryan Crowe</t>
  </si>
  <si>
    <t>Columbus</t>
  </si>
  <si>
    <t>Ohio</t>
  </si>
  <si>
    <t>OIC Colored Binder Clips, Assorted Sizes</t>
  </si>
  <si>
    <t>Redi-Strip #10 Envelopes, 4 1/8 x 9 1/2</t>
  </si>
  <si>
    <t>Xerox 1921</t>
  </si>
  <si>
    <t>Tyvek  Top-Opening Peel &amp; Seel Envelopes, Plain White</t>
  </si>
  <si>
    <t>CA-2017-110457</t>
  </si>
  <si>
    <t>Dave Kipp</t>
  </si>
  <si>
    <t>Hon Racetrack Conference Tables</t>
  </si>
  <si>
    <t>US-2017-136476</t>
  </si>
  <si>
    <t>Greg Guthrie</t>
  </si>
  <si>
    <t>Bristol</t>
  </si>
  <si>
    <t>GBC DocuBind 300 Electric Binding Machine</t>
  </si>
  <si>
    <t>CA-2018-103730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</si>
  <si>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</si>
  <si>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</si>
  <si>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</si>
  <si>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</si>
  <si>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</si>
  <si>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</si>
  <si>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US-2016-152030</t>
  </si>
  <si>
    <t>Alan Dominguez</t>
  </si>
  <si>
    <t>Global Deluxe High-Back Manager's Chair</t>
  </si>
  <si>
    <t>US-2016-134614</t>
  </si>
  <si>
    <t>Philip Fox</t>
  </si>
  <si>
    <t>Bloomington</t>
  </si>
  <si>
    <t>Bevis 44 x 96 Conference Tables</t>
  </si>
  <si>
    <t>US-2019-107272</t>
  </si>
  <si>
    <t>Troy Staebel</t>
  </si>
  <si>
    <t>Phoenix</t>
  </si>
  <si>
    <t>Avery Durable Slant Ring Binders, No Labels</t>
  </si>
  <si>
    <t>Trav-L-File Heavy-Duty Shuttle II, Black</t>
  </si>
  <si>
    <t>US-2018-125969</t>
  </si>
  <si>
    <t>Lindsay Shagiari</t>
  </si>
  <si>
    <t>Global Task Chair, Black</t>
  </si>
  <si>
    <t>Eldon Cleatmat Plus Chair Mats for High Pile Carpets</t>
  </si>
  <si>
    <t>US-2019-164147</t>
  </si>
  <si>
    <t>Dorothy Wardle</t>
  </si>
  <si>
    <t>Anker 36W 4-Port USB Wall Charger Travel Power Adapter for iPhone 5s 5c 5</t>
  </si>
  <si>
    <t>Xerox 1916</t>
  </si>
  <si>
    <t>Staples</t>
  </si>
  <si>
    <t>CA-2018-145583</t>
  </si>
  <si>
    <t>Lena Creighton</t>
  </si>
  <si>
    <t>Roseville</t>
  </si>
  <si>
    <t>Xerox 195</t>
  </si>
  <si>
    <t>Xerox 1880</t>
  </si>
  <si>
    <t>Sanford Colorific Colored Pencils, 12/Box</t>
  </si>
  <si>
    <t>Ideal Clamps</t>
  </si>
  <si>
    <t>GBC Wire Binding Strips</t>
  </si>
  <si>
    <t>Supplies</t>
  </si>
  <si>
    <t>Fiskars Softgrip Scissors</t>
  </si>
  <si>
    <t>CA-2018-110366</t>
  </si>
  <si>
    <t>Jonathan Doherty</t>
  </si>
  <si>
    <t>CA-2019-106180</t>
  </si>
  <si>
    <t>Sally Hughsby</t>
  </si>
  <si>
    <t>Newell 343</t>
  </si>
  <si>
    <t>Convenience Packs of Business Envelopes</t>
  </si>
  <si>
    <t>Xerox 1911</t>
  </si>
  <si>
    <t>CA-2019-155376</t>
  </si>
  <si>
    <t>Sandra Glassco</t>
  </si>
  <si>
    <t>Independence</t>
  </si>
  <si>
    <t>Missouri</t>
  </si>
  <si>
    <t>Sanyo 2.5 Cubic Foot Mid-Size Office Refrigerators</t>
  </si>
  <si>
    <t>CA-2017-110744</t>
  </si>
  <si>
    <t>Helen Andreada</t>
  </si>
  <si>
    <t>Pasadena</t>
  </si>
  <si>
    <t>CA-2016-110072</t>
  </si>
  <si>
    <t>Maureen Gastineau</t>
  </si>
  <si>
    <t>Newark</t>
  </si>
  <si>
    <t>Seth Thomas 14" Putty-Colored Wall Clock</t>
  </si>
  <si>
    <t>CA-2018-114489</t>
  </si>
  <si>
    <t>Justin Ellison</t>
  </si>
  <si>
    <t>Franklin</t>
  </si>
  <si>
    <t>Plantronics Cordless Phone Headset with In-line Volume - M214C</t>
  </si>
  <si>
    <t>Anker Astro 15000mAh USB Portable Charger</t>
  </si>
  <si>
    <t>GBC Prestige Therm-A-Bind Covers</t>
  </si>
  <si>
    <t>CA-2018-158834</t>
  </si>
  <si>
    <t>Tamara Willingham</t>
  </si>
  <si>
    <t>Scottsdale</t>
  </si>
  <si>
    <t>Belkin 7 Outlet SurgeMaster Surge Protector with Phone Protection</t>
  </si>
  <si>
    <t>Jabra BIZ 2300 Duo QD Duo Corded Headset</t>
  </si>
  <si>
    <t>CA-2017-124919</t>
  </si>
  <si>
    <t>Stephanie Phelps</t>
  </si>
  <si>
    <t>San Jose</t>
  </si>
  <si>
    <t>Southworth 25% Cotton Antique Laid Paper &amp; Envelopes</t>
  </si>
  <si>
    <t>Xerox 1883</t>
  </si>
  <si>
    <t>Tenex Personal Project File with Scoop Front Design, Black</t>
  </si>
  <si>
    <t>CA-2017-118948</t>
  </si>
  <si>
    <t>Neil Knudson</t>
  </si>
  <si>
    <t>Newell 311</t>
  </si>
  <si>
    <t>CA-2016-104269</t>
  </si>
  <si>
    <t>Dave Brooks</t>
  </si>
  <si>
    <t>CA-2018-114104</t>
  </si>
  <si>
    <t>Nora Paige</t>
  </si>
  <si>
    <t>Edmond</t>
  </si>
  <si>
    <t>Oklahoma</t>
  </si>
  <si>
    <t>Avery 519</t>
  </si>
  <si>
    <t>Avaya 5420 Digital phone</t>
  </si>
  <si>
    <t>CA-2018-162733</t>
  </si>
  <si>
    <t>Ted Trevino</t>
  </si>
  <si>
    <t>Xerox 1920</t>
  </si>
  <si>
    <t>CA-2017-119697</t>
  </si>
  <si>
    <t>Eric Murdock</t>
  </si>
  <si>
    <t>Lenovo 17-Key USB Numeric Keypad</t>
  </si>
  <si>
    <t>CA-2018-154508</t>
  </si>
  <si>
    <t>Ruben Dartt</t>
  </si>
  <si>
    <t>Carlsbad</t>
  </si>
  <si>
    <t>New Mexico</t>
  </si>
  <si>
    <t>Staple envelope</t>
  </si>
  <si>
    <t>CA-2018-113817</t>
  </si>
  <si>
    <t>Max Jones</t>
  </si>
  <si>
    <t>Wilson Jones International Size A4 Ring Binders</t>
  </si>
  <si>
    <t>CA-2016-139892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</si>
  <si>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</si>
  <si>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</si>
  <si>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</si>
  <si>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</si>
  <si>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</si>
  <si>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</si>
  <si>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</si>
  <si>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</si>
  <si>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</si>
  <si>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</si>
  <si>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CA-2016-118962</t>
  </si>
  <si>
    <t>Chad Sievert</t>
  </si>
  <si>
    <t>Adams Phone Message Book, Professional, 400 Message Capacity, 5 3/6” x 11”</t>
  </si>
  <si>
    <t>Xerox 1913</t>
  </si>
  <si>
    <t>Global Value Steno Chair, Gray</t>
  </si>
  <si>
    <t>US-2016-100853</t>
  </si>
  <si>
    <t>Jennifer Braxton</t>
  </si>
  <si>
    <t>Kensington 7 Outlet MasterPiece HOMEOFFICE Power Control Center</t>
  </si>
  <si>
    <t>Avery 51</t>
  </si>
  <si>
    <t>US-2019-152366</t>
  </si>
  <si>
    <t>Shirley Jackson</t>
  </si>
  <si>
    <t>Acco 7-Outlet Masterpiece Power Center, Wihtout Fax/Phone Line Protection</t>
  </si>
  <si>
    <t>US-2017-101511</t>
  </si>
  <si>
    <t>Padded Folding Chairs, Black, 4/Carton</t>
  </si>
  <si>
    <t>Acme Rosewood Handle Letter Opener</t>
  </si>
  <si>
    <t>CA-2017-137225</t>
  </si>
  <si>
    <t>Jim Kriz</t>
  </si>
  <si>
    <t>Sanford Colorific Eraseable Coloring Pencils, 12 Count</t>
  </si>
  <si>
    <t>CA-2016-166191</t>
  </si>
  <si>
    <t>David Kendrick</t>
  </si>
  <si>
    <t>Tenex File Box, Personal Filing Tote with Lid, Black</t>
  </si>
  <si>
    <t>Imation Secure+ Hardware Encrypted USB 2.0 Flash Drive; 16GB</t>
  </si>
  <si>
    <t>CA-2016-158274</t>
  </si>
  <si>
    <t>Robert Marley</t>
  </si>
  <si>
    <t>Monroe</t>
  </si>
  <si>
    <t>Louisiana</t>
  </si>
  <si>
    <t>AT&amp;T TR1909W</t>
  </si>
  <si>
    <t>Nokia Lumia 521 (T-Mobile)</t>
  </si>
  <si>
    <t>HP Standard 104 key PS/2 Keyboard</t>
  </si>
  <si>
    <t>CA-2018-105018</t>
  </si>
  <si>
    <t>Sally Knutson</t>
  </si>
  <si>
    <t>Fairfield</t>
  </si>
  <si>
    <t>Connecticut</t>
  </si>
  <si>
    <t>Avery Poly Binder Pockets</t>
  </si>
  <si>
    <t>CA-2016-123260</t>
  </si>
  <si>
    <t>Frank Merwin</t>
  </si>
  <si>
    <t>SanDisk Ultra 32 GB MicroSDHC Class 10 Memory Card</t>
  </si>
  <si>
    <t>CA-2018-157000</t>
  </si>
  <si>
    <t>Alice McCarthy</t>
  </si>
  <si>
    <t>Grand Prairie</t>
  </si>
  <si>
    <t>Personal Filing Tote with Lid, Black/Gray</t>
  </si>
  <si>
    <t>CA-2017-102281</t>
  </si>
  <si>
    <t>Mark Packer</t>
  </si>
  <si>
    <t>Atlantic Metals Mobile 4-Shelf Bookcases, Custom Colors</t>
  </si>
  <si>
    <t>I Need's 3d Hello Kitty Hybrid Silicone Case Cover for HTC One X 4g with 3d Hello Kitty Stylus Pen Green/pink</t>
  </si>
  <si>
    <t>Xerox 205</t>
  </si>
  <si>
    <t>4009 Highlighters by Sanford</t>
  </si>
  <si>
    <t>CA-2017-131457</t>
  </si>
  <si>
    <t>Mary Zewe</t>
  </si>
  <si>
    <t>Redlands</t>
  </si>
  <si>
    <t>CA-2016-140004</t>
  </si>
  <si>
    <t>Cassandra Brandow</t>
  </si>
  <si>
    <t>Hamilton</t>
  </si>
  <si>
    <t>Binney &amp; Smith Crayola Metallic Colored Pencils, 8-Color Set</t>
  </si>
  <si>
    <t>Binney &amp; Smith inkTank Erasable Desk Highlighter, Chisel Tip, Yellow, 12/Box</t>
  </si>
  <si>
    <t>CA-2019-107720</t>
  </si>
  <si>
    <t>Valerie Mitchum</t>
  </si>
  <si>
    <t>Westfield</t>
  </si>
  <si>
    <t>New Jersey</t>
  </si>
  <si>
    <t>Decoflex Hanging Personal Folder File</t>
  </si>
  <si>
    <t>US-2019-124303</t>
  </si>
  <si>
    <t>Fred Hopkins</t>
  </si>
  <si>
    <t>Pressboard Covers with Storage Hooks, 9 1/2" x 11", Light Blue</t>
  </si>
  <si>
    <t>Wirebound Message Books, 5-1/2 x 4 Forms, 2 or 4 Forms per Page</t>
  </si>
  <si>
    <t>CA-2019-105074</t>
  </si>
  <si>
    <t>Maria Bertelson</t>
  </si>
  <si>
    <t>Akron</t>
  </si>
  <si>
    <t>Southworth 25% Cotton Linen-Finish Paper &amp; Envelopes</t>
  </si>
  <si>
    <t>CA-2016-133690</t>
  </si>
  <si>
    <t>Bruce Stewart</t>
  </si>
  <si>
    <t>Denver</t>
  </si>
  <si>
    <t>BoxOffice By Design Rectangular and Half-Moon Meeting Room Tables</t>
  </si>
  <si>
    <t>Bravo II Megaboss 12-Amp Hard Body Upright, Replacement Belts, 2 Belts per Pack</t>
  </si>
  <si>
    <t>US-2019-116701</t>
  </si>
  <si>
    <t>Logan Currie</t>
  </si>
  <si>
    <t>Dallas</t>
  </si>
  <si>
    <t>Eureka Sanitaire  Commercial Upright</t>
  </si>
  <si>
    <t>CA-2019-126382</t>
  </si>
  <si>
    <t>Heather Kirkland</t>
  </si>
  <si>
    <t>Eldon 200 Class Desk Accessories, Burgundy</t>
  </si>
  <si>
    <t>CA-2019-108329</t>
  </si>
  <si>
    <t>Laurel Elliston</t>
  </si>
  <si>
    <t>Whittier</t>
  </si>
  <si>
    <t>Nortel Business Series Terminal T7208 Digital phone</t>
  </si>
  <si>
    <t>CA-2019-135860</t>
  </si>
  <si>
    <t>Joseph Holt</t>
  </si>
  <si>
    <t>Saginaw</t>
  </si>
  <si>
    <t>Tennsco Lockers, Gray</t>
  </si>
  <si>
    <t>Panasonic KX-TG6844B Expandable Digital Cordless Telephone</t>
  </si>
  <si>
    <t>Advantus Push Pins, Aluminum Head</t>
  </si>
  <si>
    <t>Gould Plastics 18-Pocket Panel Bin, 34w x 5-1/4d x 20-1/2h</t>
  </si>
  <si>
    <t>CA-2017-101007</t>
  </si>
  <si>
    <t>Michael Stewart</t>
  </si>
  <si>
    <t>Memorex Micro Travel Drive 8 GB</t>
  </si>
  <si>
    <t>CA-2017-146262</t>
  </si>
  <si>
    <t>Victoria Wilson</t>
  </si>
  <si>
    <t>Medina</t>
  </si>
  <si>
    <t>Avery 505</t>
  </si>
  <si>
    <t>O'Sullivan 2-Door Barrister Bookcase in Odessa Pine</t>
  </si>
  <si>
    <t>Cisco 9971 IP Video Phone Charcoal</t>
  </si>
  <si>
    <t>Sony Micro Vault Click 16 GB USB 2.0 Flash Drive</t>
  </si>
  <si>
    <t>CA-2018-130162</t>
  </si>
  <si>
    <t>Jonathan Howell</t>
  </si>
  <si>
    <t>Adtran 1202752G1</t>
  </si>
  <si>
    <t>CA-2017-169397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</si>
  <si>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</si>
  <si>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</si>
  <si>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</si>
  <si>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</si>
  <si>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</si>
  <si>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</si>
  <si>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</si>
  <si>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CA-2017-163055</t>
  </si>
  <si>
    <t>David Smith</t>
  </si>
  <si>
    <t>Detroit</t>
  </si>
  <si>
    <t>Sanford Uni-Blazer View Highlighters, Chisel Tip, Yellow</t>
  </si>
  <si>
    <t>Bevis 36 x 72 Conference Tables</t>
  </si>
  <si>
    <t>Rogers Deluxe File Chest</t>
  </si>
  <si>
    <t>US-2017-145436</t>
  </si>
  <si>
    <t>Valerie Dominguez</t>
  </si>
  <si>
    <t>Global Low Back Tilter Chair</t>
  </si>
  <si>
    <t>Global Push Button Manager's Chair, Indigo</t>
  </si>
  <si>
    <t>US-2016-156216</t>
  </si>
  <si>
    <t>Erin Ashbrook</t>
  </si>
  <si>
    <t>GBC Instant Index System for Binding Systems</t>
  </si>
  <si>
    <t>US-2019-100930</t>
  </si>
  <si>
    <t>Tampa</t>
  </si>
  <si>
    <t>Bush Advantage Collection Round Conference Table</t>
  </si>
  <si>
    <t>Bretford Rectangular Conference Table Tops</t>
  </si>
  <si>
    <t>Tenex Contemporary Contur Chairmats for Low and Medium Pile Carpet, Computer, 39" x 49"</t>
  </si>
  <si>
    <t>Logitech P710e Mobile Speakerphone</t>
  </si>
  <si>
    <t>CA-2019-160514</t>
  </si>
  <si>
    <t>David Bremer</t>
  </si>
  <si>
    <t>Santa Clara</t>
  </si>
  <si>
    <t>Xerox 4200 Series MultiUse Premium Copy Paper (20Lb. and 84 Bright)</t>
  </si>
  <si>
    <t>CA-2018-157749</t>
  </si>
  <si>
    <t>Ken Lonsdale</t>
  </si>
  <si>
    <t>Xerox 1957</t>
  </si>
  <si>
    <t>Luxo Professional Fluorescent Magnifier Lamp with Clamp-Mount Base</t>
  </si>
  <si>
    <t>Staple-based wall hangings</t>
  </si>
  <si>
    <t>PureGear Roll-On Screen Protector</t>
  </si>
  <si>
    <t>KI Conference Tables</t>
  </si>
  <si>
    <t>Eldon 100 Class Desk Accessories</t>
  </si>
  <si>
    <t>CA-2016-131926</t>
  </si>
  <si>
    <t>Dianna Wilson</t>
  </si>
  <si>
    <t>Lakeville</t>
  </si>
  <si>
    <t>Safco Steel Mobile File Cart</t>
  </si>
  <si>
    <t>Adams Telephone Message Book w/Frequently-Called Numbers Space, 400 Messages per Book</t>
  </si>
  <si>
    <t>Honeywell Enviracaire Portable HEPA Air Cleaner for 17' x 22' Room</t>
  </si>
  <si>
    <t>CA-2018-154739</t>
  </si>
  <si>
    <t>Logan Haushalter</t>
  </si>
  <si>
    <t>Global Leather Highback Executive Chair with Pneumatic Height Adjustment, Black</t>
  </si>
  <si>
    <t>CA-2018-145625</t>
  </si>
  <si>
    <t>Kelly Collister</t>
  </si>
  <si>
    <t>San Diego</t>
  </si>
  <si>
    <t>Wirebound Message Books, Two 4 1/4" x 5" Forms per Page</t>
  </si>
  <si>
    <t>CA-2018-146941</t>
  </si>
  <si>
    <t>Delfina Latchford</t>
  </si>
  <si>
    <t>Fellowes Personal Hanging Folder Files, Navy</t>
  </si>
  <si>
    <t>Tyvek Side-Opening Peel &amp; Seel Expanding Envelopes</t>
  </si>
  <si>
    <t>US-2017-159982</t>
  </si>
  <si>
    <t>Dan Reichenbach</t>
  </si>
  <si>
    <t>Belkin 19" Vented Equipment Shelf, Black</t>
  </si>
  <si>
    <t>Logitech Mobile Speakerphone P710e - speaker phone</t>
  </si>
  <si>
    <t>CA-2019-163139</t>
  </si>
  <si>
    <t>Craig Carreira</t>
  </si>
  <si>
    <t>Sabrent 4-Port USB 2.0 Hub</t>
  </si>
  <si>
    <t>Safco Industrial Shelving</t>
  </si>
  <si>
    <t>Acco 3-Hole Punch</t>
  </si>
  <si>
    <t>US-2019-155299</t>
  </si>
  <si>
    <t>Dorris liebe</t>
  </si>
  <si>
    <t>Eureka Disposable Bags for Sanitaire Vibra Groomer I Upright Vac</t>
  </si>
  <si>
    <t>US-2016-106992</t>
  </si>
  <si>
    <t>Sean Braxton</t>
  </si>
  <si>
    <t>Xerox WorkCentre 6505DN Laser Multifunction Printer</t>
  </si>
  <si>
    <t>CA-2018-125318</t>
  </si>
  <si>
    <t>Roy Collins</t>
  </si>
  <si>
    <t>Cisco Small Business SPA 502G VoIP phone</t>
  </si>
  <si>
    <t>CA-2017-155040</t>
  </si>
  <si>
    <t>Alan Hwang</t>
  </si>
  <si>
    <t>Brentwood</t>
  </si>
  <si>
    <t>Microsoft Sculpt Comfort Mouse</t>
  </si>
  <si>
    <t>CA-2019-136826</t>
  </si>
  <si>
    <t>Claudia Bergmann</t>
  </si>
  <si>
    <t>Chapel Hill</t>
  </si>
  <si>
    <t>Quartet Omega Colored Chalk, 12/Pack</t>
  </si>
  <si>
    <t>CA-2018-111010</t>
  </si>
  <si>
    <t>Morristown</t>
  </si>
  <si>
    <t>Bagged Rubber Bands</t>
  </si>
  <si>
    <t>US-2019-145366</t>
  </si>
  <si>
    <t>Christine Abelman</t>
  </si>
  <si>
    <t>Cincinnati</t>
  </si>
  <si>
    <t>Safco Commercial Shelving</t>
  </si>
  <si>
    <t>Recycled Interoffice Envelopes with String and Button Closure, 10 x 13</t>
  </si>
  <si>
    <t>CA-2019-163979</t>
  </si>
  <si>
    <t>Kristen Hastings</t>
  </si>
  <si>
    <t>Adjustable Depth Letter/Legal Cart</t>
  </si>
  <si>
    <t>CA-2017-155334</t>
  </si>
  <si>
    <t>Logitech 910-002974 M325 Wireless Mouse for Web Scrolling</t>
  </si>
  <si>
    <t>Regeneration Desk Collection</t>
  </si>
  <si>
    <t>Presstex Flexible Ring Binders</t>
  </si>
  <si>
    <t>CA-2019-118136</t>
  </si>
  <si>
    <t>Barry Blumstein</t>
  </si>
  <si>
    <t>Inglewood</t>
  </si>
  <si>
    <t>Ampad Gold Fibre Wirebound Steno Books, 6" x 9", Gregg Ruled</t>
  </si>
  <si>
    <t>Newell 330</t>
  </si>
  <si>
    <t>CA-2019-132976</t>
  </si>
  <si>
    <t>Andrew Gjertsen</t>
  </si>
  <si>
    <t>Post-it “Important Message” Note Pad, Neon Colors, 50 Sheets/Pad</t>
  </si>
  <si>
    <t>Adams Write n' Stick Phone Message Book, 11" X 5 1/4", 200 Messages</t>
  </si>
  <si>
    <t>Eldon Simplefile Box Office</t>
  </si>
  <si>
    <t>Avery 489</t>
  </si>
  <si>
    <t>US-2017-161991</t>
  </si>
  <si>
    <t>Round Ring Binders</t>
  </si>
  <si>
    <t>Bose SoundLink Bluetooth Speaker</t>
  </si>
  <si>
    <t>CA-2017-130890</t>
  </si>
  <si>
    <t>Jas O'Carroll</t>
  </si>
  <si>
    <t>Bevis Round Bullnose 29" High Table Top</t>
  </si>
  <si>
    <t>CA-2017-130883</t>
  </si>
  <si>
    <t>Microsoft Arc Touch Mouse</t>
  </si>
  <si>
    <t>Xerox 216</t>
  </si>
  <si>
    <t>CA-2018-112697</t>
  </si>
  <si>
    <t>Alan Haines</t>
  </si>
  <si>
    <t>Tamarac</t>
  </si>
  <si>
    <t>GBC VeloBinder Electric Binding Machine</t>
  </si>
  <si>
    <t>Premier Automatic Letter Opener</t>
  </si>
  <si>
    <t>CA-2018-110772</t>
  </si>
  <si>
    <t>Nick Zandusky</t>
  </si>
  <si>
    <t>Advantus SlideClip Paper Clips</t>
  </si>
  <si>
    <t>Avery 512</t>
  </si>
  <si>
    <t>Logitech Wireless Gaming Headset G930</t>
  </si>
  <si>
    <t>Bush Westfield Collection Bookcases, Medium Cherry Finish</t>
  </si>
  <si>
    <t>CA-2016-111451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</si>
  <si>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</si>
  <si>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</si>
  <si>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</si>
  <si>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</si>
  <si>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</si>
  <si>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</si>
  <si>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</si>
  <si>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CA-2018-142545</t>
  </si>
  <si>
    <t>Belleville</t>
  </si>
  <si>
    <t>Xerox 223</t>
  </si>
  <si>
    <t>Tennsco Stur-D-Stor Boltless Shelving, 5 Shelves, 24" Deep, Sand</t>
  </si>
  <si>
    <t>Xerox 1939</t>
  </si>
  <si>
    <t>Floodlight Indoor Halogen Bulbs, 1 Bulb per Pack, 60 Watts</t>
  </si>
  <si>
    <t>Avery Premier Heavy-Duty Binder with Round Locking Rings</t>
  </si>
  <si>
    <t>US-2019-152380</t>
  </si>
  <si>
    <t>BPI Conference Tables</t>
  </si>
  <si>
    <t>CA-2017-144253</t>
  </si>
  <si>
    <t>Alan Schoenberger</t>
  </si>
  <si>
    <t>Electrix 20W Halogen Replacement Bulb for Zoom-In Desk Lamp</t>
  </si>
  <si>
    <t>CA-2016-130960</t>
  </si>
  <si>
    <t>Taylor</t>
  </si>
  <si>
    <t>Newell 350</t>
  </si>
  <si>
    <t>CA-2016-111003</t>
  </si>
  <si>
    <t>Corey Roper</t>
  </si>
  <si>
    <t>Lakewood</t>
  </si>
  <si>
    <t>GBC Clear Cover, 8-1/2 x 11, unpunched, 25 covers per pack</t>
  </si>
  <si>
    <t>Boston Heavy-Duty Trimline Electric Pencil Sharpeners</t>
  </si>
  <si>
    <t>CA-2019-126774</t>
  </si>
  <si>
    <t>Shahid Hopkins</t>
  </si>
  <si>
    <t>Arlington</t>
  </si>
  <si>
    <t>Faber Castell Col-Erase Pencils</t>
  </si>
  <si>
    <t>CA-2018-142902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</si>
  <si>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</si>
  <si>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</si>
  <si>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</si>
  <si>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</si>
  <si>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</si>
  <si>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</si>
  <si>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CA-2016-120887</t>
  </si>
  <si>
    <t>Thomas Seio</t>
  </si>
  <si>
    <t>Hackensack</t>
  </si>
  <si>
    <t>Deflect-o SuperTray Unbreakable Stackable Tray, Letter, Black</t>
  </si>
  <si>
    <t>CA-2016-167850</t>
  </si>
  <si>
    <t>Andy Gerbode</t>
  </si>
  <si>
    <t>Saint Petersburg</t>
  </si>
  <si>
    <t>AT&amp;T 1070 Corded Phone</t>
  </si>
  <si>
    <t>Xerox 21</t>
  </si>
  <si>
    <t>CA-2016-164259</t>
  </si>
  <si>
    <t>Sung Pak</t>
  </si>
  <si>
    <t>Boston School Pro Electric Pencil Sharpener, 1670</t>
  </si>
  <si>
    <t>CA-2016-164973</t>
  </si>
  <si>
    <t>Nathan Mautz</t>
  </si>
  <si>
    <t>DMI Arturo Collection Mission-style Design Wood Chair</t>
  </si>
  <si>
    <t>Canon imageCLASS MF7460 Monochrome Digital Laser Multifunction Copier</t>
  </si>
  <si>
    <t>NETGEAR N750 Dual Band Wi-Fi Gigabit Router</t>
  </si>
  <si>
    <t>CA-2016-156601</t>
  </si>
  <si>
    <t>Frank Atkinson</t>
  </si>
  <si>
    <t>Long Beach</t>
  </si>
  <si>
    <t>OIC Binder Clips</t>
  </si>
  <si>
    <t>CA-2018-162138</t>
  </si>
  <si>
    <t>Grace Kelly</t>
  </si>
  <si>
    <t>Hesperia</t>
  </si>
  <si>
    <t>Logitech Wireless Headset h800</t>
  </si>
  <si>
    <t>CA-2019-153339</t>
  </si>
  <si>
    <t>Don Jones</t>
  </si>
  <si>
    <t>Murfreesboro</t>
  </si>
  <si>
    <t>Telescoping Adjustable Floor Lamp</t>
  </si>
  <si>
    <t>US-2018-141544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</si>
  <si>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</si>
  <si>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</si>
  <si>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</si>
  <si>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</si>
  <si>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</si>
  <si>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</si>
  <si>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US-2018-150147</t>
  </si>
  <si>
    <t>John Lucas</t>
  </si>
  <si>
    <t>AT&amp;T 841000 Phone</t>
  </si>
  <si>
    <t>Ibico Recycled Grain-Textured Covers</t>
  </si>
  <si>
    <t>Wilson Jones Custom Binder Spines &amp; Labels</t>
  </si>
  <si>
    <t>CA-2017-137946</t>
  </si>
  <si>
    <t>Doug Bickford</t>
  </si>
  <si>
    <t>Storex Dura Pro Binders</t>
  </si>
  <si>
    <t>Copiers</t>
  </si>
  <si>
    <t>Hewlett Packard LaserJet 3310 Copier</t>
  </si>
  <si>
    <t>Avery Non-Stick Binders</t>
  </si>
  <si>
    <t>CA-2016-129924</t>
  </si>
  <si>
    <t>Alyssa Crouse</t>
  </si>
  <si>
    <t>Tuff Stuff Recycled Round Ring Binders</t>
  </si>
  <si>
    <t>Hon 5100 Series Wood Tables</t>
  </si>
  <si>
    <t>CA-2017-128167</t>
  </si>
  <si>
    <t>Layton</t>
  </si>
  <si>
    <t>OIC Binder Clips, Mini, 1/4" Capacity, Black</t>
  </si>
  <si>
    <t>CA-2016-122336</t>
  </si>
  <si>
    <t>Newell 314</t>
  </si>
  <si>
    <t>Square Credit Card Reader, 4 1/2" x 4 1/2" x 1", White</t>
  </si>
  <si>
    <t>US-2017-120712</t>
  </si>
  <si>
    <t>Austin</t>
  </si>
  <si>
    <t>CA-2019-169901</t>
  </si>
  <si>
    <t>Clay Cheatham</t>
  </si>
  <si>
    <t>CA-2019-134306</t>
  </si>
  <si>
    <t>Tamara Dahlen</t>
  </si>
  <si>
    <t>Lowell</t>
  </si>
  <si>
    <t>Massachusetts</t>
  </si>
  <si>
    <t>BIC Brite Liner Highlighters, Chisel Tip</t>
  </si>
  <si>
    <t>CA-2018-129714</t>
  </si>
  <si>
    <t>Adam Bellavance</t>
  </si>
  <si>
    <t>Xerox 1881</t>
  </si>
  <si>
    <t>Acco Hanging Data Binders</t>
  </si>
  <si>
    <t>GBC DocuBind P400 Electric Binding System</t>
  </si>
  <si>
    <t>CA-2018-138520</t>
  </si>
  <si>
    <t>Jeremy Lonsdale</t>
  </si>
  <si>
    <t>Sauder Barrister Bookcases</t>
  </si>
  <si>
    <t>#10 Gummed Flap White Envelopes, 100/Box</t>
  </si>
  <si>
    <t>Dixon Prang Watercolor Pencils, 10-Color Set with Brush</t>
  </si>
  <si>
    <t>Adams Phone Message Book, 200 Message Capacity, 8 1/16” x 11”</t>
  </si>
  <si>
    <t>CA-2018-130001</t>
  </si>
  <si>
    <t>CA-2019-155698</t>
  </si>
  <si>
    <t>Victoria Brennan</t>
  </si>
  <si>
    <t>Georgia</t>
  </si>
  <si>
    <t>Belkin 8 Outlet SurgeMaster II Gold Surge Protector with Phone Protection</t>
  </si>
  <si>
    <t>Avery Address/Shipping Labels for Typewriters, 4" x 2"</t>
  </si>
  <si>
    <t>CA-2019-144904</t>
  </si>
  <si>
    <t>Katrina Willman</t>
  </si>
  <si>
    <t>Global Ergonomic Managers Chair</t>
  </si>
  <si>
    <t>Newell 333</t>
  </si>
  <si>
    <t>Eldon Wave Desk Accessories</t>
  </si>
  <si>
    <t>CA-2016-123344</t>
  </si>
  <si>
    <t>Julia Dunbar</t>
  </si>
  <si>
    <t>CA-2018-155516</t>
  </si>
  <si>
    <t>Same Day</t>
  </si>
  <si>
    <t>Michael Kennedy</t>
  </si>
  <si>
    <t>Manchester</t>
  </si>
  <si>
    <t>Wilson Jones “Snap” Scratch Pad Binder Tool for Ring Binders</t>
  </si>
  <si>
    <t>Staple remover</t>
  </si>
  <si>
    <t>Pizazz Global Quick File</t>
  </si>
  <si>
    <t>CA-2019-104745</t>
  </si>
  <si>
    <t>Guy Thornton</t>
  </si>
  <si>
    <t>Harlingen</t>
  </si>
  <si>
    <t>Xerox 1930</t>
  </si>
  <si>
    <t>File Shuttle I and Handi-File</t>
  </si>
  <si>
    <t>US-2016-119137</t>
  </si>
  <si>
    <t>Arthur Gainer</t>
  </si>
  <si>
    <t>Tucson</t>
  </si>
  <si>
    <t>NETGEAR AC1750 Dual Band Gigabit Smart WiFi Router</t>
  </si>
  <si>
    <t>Newell 324</t>
  </si>
  <si>
    <t>Microsoft Natural Keyboard Elite</t>
  </si>
  <si>
    <t>US-2018-134656</t>
  </si>
  <si>
    <t>Muhammed MacIntyre</t>
  </si>
  <si>
    <t>Quincy</t>
  </si>
  <si>
    <t>Xerox 1960</t>
  </si>
  <si>
    <t>US-2019-134481</t>
  </si>
  <si>
    <t>Allen Rosenblatt</t>
  </si>
  <si>
    <t>Office Impressions End Table, 20-1/2"H x 24"W x 20"D</t>
  </si>
  <si>
    <t>CA-2017-130792</t>
  </si>
  <si>
    <t>Russell Applegate</t>
  </si>
  <si>
    <t>Holmes Odor Grabber</t>
  </si>
  <si>
    <t>Akro-Mils 12-Gallon Tote</t>
  </si>
  <si>
    <t>GBC Twin Loop Wire Binding Elements, 9/16" Spine, Black</t>
  </si>
  <si>
    <t>CA-2018-134775</t>
  </si>
  <si>
    <t>Alejandro Savely</t>
  </si>
  <si>
    <t>Southworth Structures Collection</t>
  </si>
  <si>
    <t>Square Ring Data Binders, Rigid 75 Pt. Covers, 11" x 14-7/8"</t>
  </si>
  <si>
    <t>CA-2017-125395</t>
  </si>
  <si>
    <t>Laura Armstrong</t>
  </si>
  <si>
    <t>Sony 32GB Class 10 Micro SDHC R40 Memory Card</t>
  </si>
  <si>
    <t>US-2017-168935</t>
  </si>
  <si>
    <t>Denny Ordway</t>
  </si>
  <si>
    <t>Pembroke Pines</t>
  </si>
  <si>
    <t>Hon Practical Foundations 30 x 60 Training Table, Light Gray/Charcoal</t>
  </si>
  <si>
    <t>Logitech Media Keyboard K200</t>
  </si>
  <si>
    <t>CA-2017-122756</t>
  </si>
  <si>
    <t>Dean Katz</t>
  </si>
  <si>
    <t>Lexmark MarkNet N8150 Wireless Print Server</t>
  </si>
  <si>
    <t>3M Hangers With Command Adhesive</t>
  </si>
  <si>
    <t>CA-2016-115973</t>
  </si>
  <si>
    <t>Nathan Gelder</t>
  </si>
  <si>
    <t>Crayola Colored Pencils</t>
  </si>
  <si>
    <t>CA-2019-101798</t>
  </si>
  <si>
    <t>Mike Vittorini</t>
  </si>
  <si>
    <t>Angle-D Binders with Locking Rings, Label Holders</t>
  </si>
  <si>
    <t>US-2016-135972</t>
  </si>
  <si>
    <t>Jack Garza</t>
  </si>
  <si>
    <t>Des Moines</t>
  </si>
  <si>
    <t>Nortel Meridian M3904 Professional Digital phone</t>
  </si>
  <si>
    <t>Canon PC1080F Personal Copier</t>
  </si>
  <si>
    <t>US-2016-134971</t>
  </si>
  <si>
    <t>Bart Pistole</t>
  </si>
  <si>
    <t>Peoria</t>
  </si>
  <si>
    <t>Wilson Jones Century Plastic Molded Ring Binders</t>
  </si>
  <si>
    <t>CA-2019-102946</t>
  </si>
  <si>
    <t>Victor Preis</t>
  </si>
  <si>
    <t>Las Vegas</t>
  </si>
  <si>
    <t>Nevada</t>
  </si>
  <si>
    <t>Tuf-Vin Binders</t>
  </si>
  <si>
    <t>CA-2019-165603</t>
  </si>
  <si>
    <t>Saphhira Shifley</t>
  </si>
  <si>
    <t>Warwick</t>
  </si>
  <si>
    <t>Rhode Island</t>
  </si>
  <si>
    <t>2300 Heavy-Duty Transfer File Systems by Perma</t>
  </si>
  <si>
    <t>Xerox 1958</t>
  </si>
  <si>
    <t>CA-2017-122259</t>
  </si>
  <si>
    <t>Acme 10" Easy Grip Assistive Scissors</t>
  </si>
  <si>
    <t>CA-2018-108987</t>
  </si>
  <si>
    <t>Anna Gayman</t>
  </si>
  <si>
    <t>Super Decoflex Portable Personal File</t>
  </si>
  <si>
    <t>Contico 72"H Heavy-Duty Storage System</t>
  </si>
  <si>
    <t>Sony 64GB Class 10 Micro SDHC R40 Memory Card</t>
  </si>
  <si>
    <t>CA-2016-113166</t>
  </si>
  <si>
    <t>Luke Foster</t>
  </si>
  <si>
    <t>Miami</t>
  </si>
  <si>
    <t>Xerox 1974</t>
  </si>
  <si>
    <t>CA-2016-155208</t>
  </si>
  <si>
    <t>Avery Hi-Liter EverBold Pen Style Fluorescent Highlighters, 4/Pack</t>
  </si>
  <si>
    <t>CA-2019-117933</t>
  </si>
  <si>
    <t>Roy Französisch</t>
  </si>
  <si>
    <t>Staple holder</t>
  </si>
  <si>
    <t>CA-2019-117457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</si>
  <si>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</si>
  <si>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</si>
  <si>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</si>
  <si>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</si>
  <si>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</si>
  <si>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</si>
  <si>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</si>
  <si>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</si>
  <si>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</si>
  <si>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CA-2019-142636</t>
  </si>
  <si>
    <t>Kimberly Carter</t>
  </si>
  <si>
    <t>Xerox 191</t>
  </si>
  <si>
    <t>CA-2019-122105</t>
  </si>
  <si>
    <t>Caroline Jumper</t>
  </si>
  <si>
    <t>Huntington Beach</t>
  </si>
  <si>
    <t>Bulldog Vacuum Base Pencil Sharpener</t>
  </si>
  <si>
    <t>CA-2018-148796</t>
  </si>
  <si>
    <t>Philip Brown</t>
  </si>
  <si>
    <t>Bevis Steel Folding Chairs</t>
  </si>
  <si>
    <t>CA-2019-154816</t>
  </si>
  <si>
    <t>Richmond</t>
  </si>
  <si>
    <t>Xerox 1987</t>
  </si>
  <si>
    <t>CA-2019-110478</t>
  </si>
  <si>
    <t>American Pencil</t>
  </si>
  <si>
    <t>White Envelopes, White Envelopes with Clear Poly Window</t>
  </si>
  <si>
    <t>CA-2016-142048</t>
  </si>
  <si>
    <t>Louisville</t>
  </si>
  <si>
    <t>KeyTronic 6101 Series - Keyboard - Black</t>
  </si>
  <si>
    <t>CA-2019-125388</t>
  </si>
  <si>
    <t>Michael Paige</t>
  </si>
  <si>
    <t>Lawrence</t>
  </si>
  <si>
    <t>Westinghouse Mesh Shade Clip-On Gooseneck Lamp, Black</t>
  </si>
  <si>
    <t>Crate-A-Files</t>
  </si>
  <si>
    <t>CA-2019-155705</t>
  </si>
  <si>
    <t>Natalie Fritzler</t>
  </si>
  <si>
    <t>Mississippi</t>
  </si>
  <si>
    <t>Hon Multipurpose Stacking Arm Chairs</t>
  </si>
  <si>
    <t>CA-2019-149160</t>
  </si>
  <si>
    <t>Canton</t>
  </si>
  <si>
    <t>Coloredge Poster Frame</t>
  </si>
  <si>
    <t>GBC VeloBinder Manual Binding System</t>
  </si>
  <si>
    <t>CA-2016-101476</t>
  </si>
  <si>
    <t>Shirley Daniels</t>
  </si>
  <si>
    <t>New Rochelle</t>
  </si>
  <si>
    <t>Epson WorkForce WF-2530 All-in-One Printer, Copier Scanner</t>
  </si>
  <si>
    <t>CA-2019-152275</t>
  </si>
  <si>
    <t>Ken Heidel</t>
  </si>
  <si>
    <t>Design Ebony Sketching Pencil</t>
  </si>
  <si>
    <t>US-2018-123750</t>
  </si>
  <si>
    <t>Ross Baird</t>
  </si>
  <si>
    <t>Gastonia</t>
  </si>
  <si>
    <t>GBC ProClick 150 Presentation Binding System</t>
  </si>
  <si>
    <t>Woodgrain Magazine Files by Perma</t>
  </si>
  <si>
    <t>CA-2018-127369</t>
  </si>
  <si>
    <t>Letter Size Cart</t>
  </si>
  <si>
    <t>US-2016-150574</t>
  </si>
  <si>
    <t>Mike Kennedy</t>
  </si>
  <si>
    <t>Jacksonville</t>
  </si>
  <si>
    <t>Insertable Tab Post Binder Dividers</t>
  </si>
  <si>
    <t>Belkin QODE FastFit Bluetooth Keyboard</t>
  </si>
  <si>
    <t>CA-2018-147375</t>
  </si>
  <si>
    <t>Philisse Overcash</t>
  </si>
  <si>
    <t>Canon Color ImageCLASS MF8580Cdw Wireless Laser All-In-One Printer, Copier, Scanner</t>
  </si>
  <si>
    <t>CA-2019-130043</t>
  </si>
  <si>
    <t>Brenda Bowman</t>
  </si>
  <si>
    <t>Xerox 1897</t>
  </si>
  <si>
    <t>CA-2019-157252</t>
  </si>
  <si>
    <t>Global Deluxe Steno Chair</t>
  </si>
  <si>
    <t>CA-2018-115756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</si>
  <si>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</si>
  <si>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</si>
  <si>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</si>
  <si>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</si>
  <si>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</si>
  <si>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</si>
  <si>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CA-2019-154214</t>
  </si>
  <si>
    <t>Troy Blackwell</t>
  </si>
  <si>
    <t>GE General Purpose, Extra Long Life, Showcase &amp; Floodlight Incandescent Bulbs</t>
  </si>
  <si>
    <t>CA-2018-166674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</si>
  <si>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</si>
  <si>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</si>
  <si>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</si>
  <si>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</si>
  <si>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</si>
  <si>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</si>
  <si>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</si>
  <si>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</si>
  <si>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CA-2019-147277</t>
  </si>
  <si>
    <t>Ed Braxton</t>
  </si>
  <si>
    <t>Deluxe Rollaway Locking File with Drawer</t>
  </si>
  <si>
    <t>CA-2018-100153</t>
  </si>
  <si>
    <t>Norman</t>
  </si>
  <si>
    <t>Memorex Mini Travel Drive 16 GB USB 2.0 Flash Drive</t>
  </si>
  <si>
    <t>US-2016-110674</t>
  </si>
  <si>
    <t>Sanjit Chand</t>
  </si>
  <si>
    <t>Global Geo Office Task Chair, Gray</t>
  </si>
  <si>
    <t>US-2018-157945</t>
  </si>
  <si>
    <t>Hon 4700 Series Mobuis Mid-Back Task Chairs with Adjustable Arms</t>
  </si>
  <si>
    <t>CA-2017-109638</t>
  </si>
  <si>
    <t>3M Office Air Cleaner</t>
  </si>
  <si>
    <t>Logitech G700s Rechargeable Gaming Mouse</t>
  </si>
  <si>
    <t>Acco D-Ring Binder w/DublLock</t>
  </si>
  <si>
    <t>CA-2018-109869</t>
  </si>
  <si>
    <t>Tanja Norvell</t>
  </si>
  <si>
    <t>Bush Advantage Collection Racetrack Conference Table</t>
  </si>
  <si>
    <t>Poly Designer Cover &amp; Back</t>
  </si>
  <si>
    <t>Premier Electric Letter Opener</t>
  </si>
  <si>
    <t>Fellowes Premier Superior Surge Suppressor, 10-Outlet, With Phone and Remote</t>
  </si>
  <si>
    <t>US-2017-101399</t>
  </si>
  <si>
    <t>Joni Sundaresam</t>
  </si>
  <si>
    <t>Park Ridge</t>
  </si>
  <si>
    <t>CA-2019-154907</t>
  </si>
  <si>
    <t>Amarillo</t>
  </si>
  <si>
    <t>Bush Mission Pointe Library</t>
  </si>
  <si>
    <t>US-2018-100419</t>
  </si>
  <si>
    <t>Cardinal Hold-It CD Pocket</t>
  </si>
  <si>
    <t>CA-2017-154144</t>
  </si>
  <si>
    <t>Maya Herman</t>
  </si>
  <si>
    <t>Lindenhurst</t>
  </si>
  <si>
    <t>Eaton Premium Continuous-Feed Paper, 25% Cotton, Letter Size, White, 1000 Shts/Box</t>
  </si>
  <si>
    <t>CA-2016-144666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</si>
  <si>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</si>
  <si>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</si>
  <si>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</si>
  <si>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</si>
  <si>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</si>
  <si>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</si>
  <si>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</si>
  <si>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CA-2018-103891</t>
  </si>
  <si>
    <t>Cisco SPA525G2 IP Phone - Wireless</t>
  </si>
  <si>
    <t>CA-2018-152632</t>
  </si>
  <si>
    <t>Jeremy Ellison</t>
  </si>
  <si>
    <t>CA-2018-100790</t>
  </si>
  <si>
    <t>John Grady</t>
  </si>
  <si>
    <t>Prang Colored Pencils</t>
  </si>
  <si>
    <t>Fellowes Strictly Business Drawer File, Letter/Legal Size</t>
  </si>
  <si>
    <t>CA-2016-134677</t>
  </si>
  <si>
    <t>Xylona Preis</t>
  </si>
  <si>
    <t>Imation USB 2.0 Swivel Flash Drive USB flash drive - 4 GB - Pink</t>
  </si>
  <si>
    <t>CA-2016-127691</t>
  </si>
  <si>
    <t>Erin Mull</t>
  </si>
  <si>
    <t>Logitech G602 Wireless Gaming Mouse</t>
  </si>
  <si>
    <t>CA-2019-140963</t>
  </si>
  <si>
    <t>Michelle Tran</t>
  </si>
  <si>
    <t>Alphabetical Labels for Top Tab Filing</t>
  </si>
  <si>
    <t>O'Sullivan Living Dimensions 2-Shelf Bookcases</t>
  </si>
  <si>
    <t>iHome FM Clock Radio with Lightning Dock</t>
  </si>
  <si>
    <t>CA-2016-154627</t>
  </si>
  <si>
    <t>Sue Ann Reed</t>
  </si>
  <si>
    <t>Apple iPhone 5S</t>
  </si>
  <si>
    <t>CA-2016-133753</t>
  </si>
  <si>
    <t>Carl Weiss</t>
  </si>
  <si>
    <t>Huntsville</t>
  </si>
  <si>
    <t>Square Credit Card Reader</t>
  </si>
  <si>
    <t>Logitech M510 Wireless Mouse</t>
  </si>
  <si>
    <t>CA-2016-113362</t>
  </si>
  <si>
    <t>Astrea Jones</t>
  </si>
  <si>
    <t>Fellowes Officeware Wire Shelving</t>
  </si>
  <si>
    <t>Colored Envelopes</t>
  </si>
  <si>
    <t>CA-2018-169166</t>
  </si>
  <si>
    <t>Sonia Sunley</t>
  </si>
  <si>
    <t>Sony Micro Vault Click 8 GB USB 2.0 Flash Drive</t>
  </si>
  <si>
    <t>US-2018-120929</t>
  </si>
  <si>
    <t>Rose O'Brian</t>
  </si>
  <si>
    <t>Balt Solid Wood Rectangular Table</t>
  </si>
  <si>
    <t>CA-2017-134782</t>
  </si>
  <si>
    <t>Maribeth Dona</t>
  </si>
  <si>
    <t>Fayetteville</t>
  </si>
  <si>
    <t>Arkansas</t>
  </si>
  <si>
    <t>Strathmore #10 Envelopes, Ultimate White</t>
  </si>
  <si>
    <t>CA-2018-126158</t>
  </si>
  <si>
    <t>Costa Mesa</t>
  </si>
  <si>
    <t>Clear Mylar Reinforcing Strips</t>
  </si>
  <si>
    <t>Howard Miller 14-1/2" Diameter Chrome Round Wall Clock</t>
  </si>
  <si>
    <t>Deflect-O Glasstique Clear Desk Accessories</t>
  </si>
  <si>
    <t>US-2018-105578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</si>
  <si>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</si>
  <si>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</si>
  <si>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</si>
  <si>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</si>
  <si>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</si>
  <si>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</si>
  <si>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</si>
  <si>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CA-2019-134978</t>
  </si>
  <si>
    <t>CA-2017-145352</t>
  </si>
  <si>
    <t>Christopher Martinez</t>
  </si>
  <si>
    <t>Atlanta</t>
  </si>
  <si>
    <t>Rogers Handheld Barrel Pencil Sharpener</t>
  </si>
  <si>
    <t>Newell 344</t>
  </si>
  <si>
    <t>Personal File Boxes with Fold-Down Carry Handle</t>
  </si>
  <si>
    <t>Fellowes PB500 Electric Punch Plastic Comb Binding Machine with Manual Bind</t>
  </si>
  <si>
    <t>CA-2019-135307</t>
  </si>
  <si>
    <t>Lynn Smith</t>
  </si>
  <si>
    <t>Gladstone</t>
  </si>
  <si>
    <t>Executive Impressions Supervisor Wall Clock</t>
  </si>
  <si>
    <t>SanDisk Cruzer 32 GB USB Flash Drive</t>
  </si>
  <si>
    <t>CA-2018-106341</t>
  </si>
  <si>
    <t>CA-2019-163405</t>
  </si>
  <si>
    <t>Bradley Nguyen</t>
  </si>
  <si>
    <t>Newell 327</t>
  </si>
  <si>
    <t>Newell 317</t>
  </si>
  <si>
    <t>CA-2019-127432</t>
  </si>
  <si>
    <t>Great Falls</t>
  </si>
  <si>
    <t>Montana</t>
  </si>
  <si>
    <t>Canon Image Class D660 Copier</t>
  </si>
  <si>
    <t>Advantus Rolling Storage Box</t>
  </si>
  <si>
    <t>Great White Multi-Use Recycled Paper (20Lb. and 84 Bright)</t>
  </si>
  <si>
    <t>Tennsco Single-Tier Lockers</t>
  </si>
  <si>
    <t>CA-2017-157812</t>
  </si>
  <si>
    <t>Dean Braden</t>
  </si>
  <si>
    <t>Carina Double Wide Media Storage Towers in Natural &amp; Black</t>
  </si>
  <si>
    <t>XtraLife ClearVue Slant-D Ring Binders by Cardinal</t>
  </si>
  <si>
    <t>CA-2019-145142</t>
  </si>
  <si>
    <t>Matt Connell</t>
  </si>
  <si>
    <t>US-2018-139486</t>
  </si>
  <si>
    <t>Motorola HK250 Universal Bluetooth Headset</t>
  </si>
  <si>
    <t>Imation 16GB Mini TravelDrive USB 2.0 Flash Drive</t>
  </si>
  <si>
    <t>CA-2017-158792</t>
  </si>
  <si>
    <t>Brian Dahlen</t>
  </si>
  <si>
    <t>CA-2019-113558</t>
  </si>
  <si>
    <t>Patricia Hirasaki</t>
  </si>
  <si>
    <t>Lakeland</t>
  </si>
  <si>
    <t>Global Commerce Series High-Back Swivel/Tilt Chairs</t>
  </si>
  <si>
    <t>US-2017-138303</t>
  </si>
  <si>
    <t>Mike Gockenbach</t>
  </si>
  <si>
    <t>Eldon Gobal File Keepers</t>
  </si>
  <si>
    <t>Martin Yale Chadless Opener Electric Letter Opener</t>
  </si>
  <si>
    <t>White Business Envelopes with Contemporary Seam, Recycled White Business Envelopes</t>
  </si>
  <si>
    <t>CA-2017-102848</t>
  </si>
  <si>
    <t>Karen Bern</t>
  </si>
  <si>
    <t>Safco Contoured Stacking Chairs</t>
  </si>
  <si>
    <t>US-2019-129441</t>
  </si>
  <si>
    <t>Jasper Cacioppo</t>
  </si>
  <si>
    <t>Tenex Chairmats For Use With Carpeted Floors</t>
  </si>
  <si>
    <t>CA-2018-168753</t>
  </si>
  <si>
    <t>Rob Lucas</t>
  </si>
  <si>
    <t>Montgomery</t>
  </si>
  <si>
    <t>Panasonic KX-TG9471B</t>
  </si>
  <si>
    <t>CA-2018-126613</t>
  </si>
  <si>
    <t>Allen Armold</t>
  </si>
  <si>
    <t>Mesa</t>
  </si>
  <si>
    <t>Sterilite Officeware Hinged File Box</t>
  </si>
  <si>
    <t>US-2019-122637</t>
  </si>
  <si>
    <t>Emily Phan</t>
  </si>
  <si>
    <t>Premier Elliptical Ring Binder, Black</t>
  </si>
  <si>
    <t>CA-2017-147851</t>
  </si>
  <si>
    <t>Cardinal Poly Pocket Divider Pockets for Ring Binders</t>
  </si>
  <si>
    <t>CA-2017-134894</t>
  </si>
  <si>
    <t>Darren Koutras</t>
  </si>
  <si>
    <t>Eureka The Boss Cordless Rechargeable Stick Vac</t>
  </si>
  <si>
    <t>Situations Contoured Folding Chairs, 4/Set</t>
  </si>
  <si>
    <t>CA-2016-140795</t>
  </si>
  <si>
    <t>Bradley Drucker</t>
  </si>
  <si>
    <t>Green Bay</t>
  </si>
  <si>
    <t>Enermax Aurora Lite Keyboard</t>
  </si>
  <si>
    <t>CA-2018-136924</t>
  </si>
  <si>
    <t>LG Electronics Tone+ HBS-730 Bluetooth Headset</t>
  </si>
  <si>
    <t>US-2017-120161</t>
  </si>
  <si>
    <t>Liz MacKendrick</t>
  </si>
  <si>
    <t>CA-2016-103849</t>
  </si>
  <si>
    <t>SanDisk Cruzer 64 GB USB Flash Drive</t>
  </si>
  <si>
    <t>Xblue XB-1670-86 X16 Small Office Telephone - Titanium</t>
  </si>
  <si>
    <t>Deflect-o EconoMat Studded, No Bevel Mat for Low Pile Carpeting</t>
  </si>
  <si>
    <t>CA-2019-162929</t>
  </si>
  <si>
    <t>Adrian Shami</t>
  </si>
  <si>
    <t>Avery Printable Repositionable Plastic Tabs</t>
  </si>
  <si>
    <t>Xerox 1898</t>
  </si>
  <si>
    <t>CA-2017-113173</t>
  </si>
  <si>
    <t>CA-2018-136406</t>
  </si>
  <si>
    <t>Bill Donatelli</t>
  </si>
  <si>
    <t>HON 5400 Series Task Chairs for Big and Tall</t>
  </si>
  <si>
    <t>CA-2019-112774</t>
  </si>
  <si>
    <t>Howard Miller 11-1/2" Diameter Grantwood Wall Clock</t>
  </si>
  <si>
    <t>CA-2019-101945</t>
  </si>
  <si>
    <t>Greg Tran</t>
  </si>
  <si>
    <t>Advantus T-Pin Paper Clips</t>
  </si>
  <si>
    <t>CA-2019-100650</t>
  </si>
  <si>
    <t>Anaheim</t>
  </si>
  <si>
    <t>Tennsco 16-Compartment Lockers with Coat Rack</t>
  </si>
  <si>
    <t>CA-2016-155852</t>
  </si>
  <si>
    <t>Ashley Jarboe</t>
  </si>
  <si>
    <t>Zebra Zazzle Fluorescent Highlighters</t>
  </si>
  <si>
    <t>CA-2018-113243</t>
  </si>
  <si>
    <t>Olvera Toch</t>
  </si>
  <si>
    <t>Avery 473</t>
  </si>
  <si>
    <t>Bretford “Just In Time” Height-Adjustable Multi-Task Work Tables</t>
  </si>
  <si>
    <t>Xerox 226</t>
  </si>
  <si>
    <t>CA-2019-118731</t>
  </si>
  <si>
    <t>Liz Pelletier</t>
  </si>
  <si>
    <t>GBC Prepunched Paper, 19-Hole, for Binding Systems, 24-lb</t>
  </si>
  <si>
    <t>CA-2016-145576</t>
  </si>
  <si>
    <t>Cynthia Arntzen</t>
  </si>
  <si>
    <t>Sanitaire Vibra Groomer IR Commercial Upright Vacuum, Replacement Belts</t>
  </si>
  <si>
    <t>Advantus Panel Wall Acrylic Frame</t>
  </si>
  <si>
    <t>CA-2017-130736</t>
  </si>
  <si>
    <t>Jeremy Farry</t>
  </si>
  <si>
    <t>Alliance Big Bands Rubber Bands, 12/Pack</t>
  </si>
  <si>
    <t>CA-2019-137099</t>
  </si>
  <si>
    <t>Frank Preis</t>
  </si>
  <si>
    <t>Cisco SPA301</t>
  </si>
  <si>
    <t>CA-2019-156951</t>
  </si>
  <si>
    <t>Ellis Ballard</t>
  </si>
  <si>
    <t>Personal Creations Ink Jet Cards and Labels</t>
  </si>
  <si>
    <t>GBC White Gloss Covers, Plain Front</t>
  </si>
  <si>
    <t>Xerox 222</t>
  </si>
  <si>
    <t>Hon Every-Day Series Multi-Task Chairs</t>
  </si>
  <si>
    <t>CA-2019-164826</t>
  </si>
  <si>
    <t>Jennifer Ferguson</t>
  </si>
  <si>
    <t>Cush Cases Heavy Duty Rugged Cover Case for Samsung Galaxy S5 - Purple</t>
  </si>
  <si>
    <t>CA-2018-127250</t>
  </si>
  <si>
    <t>Sarah Foster</t>
  </si>
  <si>
    <t>Marysville</t>
  </si>
  <si>
    <t>Newell 332</t>
  </si>
  <si>
    <t>CA-2017-149713</t>
  </si>
  <si>
    <t>Trudy Glocke</t>
  </si>
  <si>
    <t>Rediform S.O.S. Phone Message Books</t>
  </si>
  <si>
    <t>Acme Value Line Scissors</t>
  </si>
  <si>
    <t>CA-2019-118640</t>
  </si>
  <si>
    <t>Carlos Soltero</t>
  </si>
  <si>
    <t>Contract Clock, 14", Brown</t>
  </si>
  <si>
    <t>CA-2017-132906</t>
  </si>
  <si>
    <t>Charles Crestani</t>
  </si>
  <si>
    <t>Martin-Yale Premier Letter Opener</t>
  </si>
  <si>
    <t>CA-2019-145233</t>
  </si>
  <si>
    <t>Dianna Vittorini</t>
  </si>
  <si>
    <t>AT&amp;T SB67148 SynJ</t>
  </si>
  <si>
    <t>Recycled Pressboard Report Cover with Reinforced Top Hinge</t>
  </si>
  <si>
    <t>CA-2017-128139</t>
  </si>
  <si>
    <t>Bruce Degenhardt</t>
  </si>
  <si>
    <t>Dot Matrix Printer Tape Reel Labels, White, 5000/Box</t>
  </si>
  <si>
    <t>US-2018-156986</t>
  </si>
  <si>
    <t>Zuschuss Carroll</t>
  </si>
  <si>
    <t>Salem</t>
  </si>
  <si>
    <t>i.Sound Portable Power - 8000 mAh</t>
  </si>
  <si>
    <t>Xerox 225</t>
  </si>
  <si>
    <t>Xerox 1894</t>
  </si>
  <si>
    <t>CA-2016-135405</t>
  </si>
  <si>
    <t>Melanie Seite</t>
  </si>
  <si>
    <t>Laredo</t>
  </si>
  <si>
    <t>Newell 312</t>
  </si>
  <si>
    <t>CA-2016-131450</t>
  </si>
  <si>
    <t>Lena Radford</t>
  </si>
  <si>
    <t>Fellowes Superior 10 Outlet Split Surge Protector</t>
  </si>
  <si>
    <t>Dana Halogen Swing-Arm Architect Lamp</t>
  </si>
  <si>
    <t>CA-2018-120180</t>
  </si>
  <si>
    <t>Theone Pippenger</t>
  </si>
  <si>
    <t>Acme Stainless Steel Office Snips</t>
  </si>
  <si>
    <t>US-2018-100720</t>
  </si>
  <si>
    <t>Chloris Kastensmidt</t>
  </si>
  <si>
    <t>Mophie Juice Pack Helium for iPhone</t>
  </si>
  <si>
    <t>GE 2-Jack Phone Line Splitter</t>
  </si>
  <si>
    <t>CA-2016-149958</t>
  </si>
  <si>
    <t>Alan Shonely</t>
  </si>
  <si>
    <t>Hot File 7-Pocket, Floor Stand</t>
  </si>
  <si>
    <t>Xerox 1889</t>
  </si>
  <si>
    <t>US-2016-105767</t>
  </si>
  <si>
    <t>Andrew Roberts</t>
  </si>
  <si>
    <t>Angle-D Ring Binders</t>
  </si>
  <si>
    <t>Motorola L804</t>
  </si>
  <si>
    <t>CA-2018-161816</t>
  </si>
  <si>
    <t>Nona Balk</t>
  </si>
  <si>
    <t>Avery 493</t>
  </si>
  <si>
    <t>CA-2018-121223</t>
  </si>
  <si>
    <t>Giulietta Dortch</t>
  </si>
  <si>
    <t>Xerox 1972</t>
  </si>
  <si>
    <t>Cisco 8x8 Inc. 6753i IP Business Phone System</t>
  </si>
  <si>
    <t>CA-2019-138611</t>
  </si>
  <si>
    <t>Clytie Kelty</t>
  </si>
  <si>
    <t>Grove City</t>
  </si>
  <si>
    <t>Prestige Round Ring Binders</t>
  </si>
  <si>
    <t>CA-2019-117947</t>
  </si>
  <si>
    <t>Nat Gilpin</t>
  </si>
  <si>
    <t>DAX Metal Frame, Desktop, Stepped-Edge</t>
  </si>
  <si>
    <t>DAX Value U-Channel Document Frames, Easel Back</t>
  </si>
  <si>
    <t>Recycled Easel Ring Binders</t>
  </si>
  <si>
    <t>Grandstream GXP1160 VoIP phone</t>
  </si>
  <si>
    <t>US-2016-111171</t>
  </si>
  <si>
    <t>Christina Anderson</t>
  </si>
  <si>
    <t>Cardinal Slant-D Ring Binder, Heavy Gauge Vinyl</t>
  </si>
  <si>
    <t>CA-2017-138009</t>
  </si>
  <si>
    <t>Sylvia Foulston</t>
  </si>
  <si>
    <t>Dearborn</t>
  </si>
  <si>
    <t>Global Manager's Adjustable Task Chair, Storm</t>
  </si>
  <si>
    <t>Honeywell Enviracaire Portable HEPA Air Cleaner for up to 10 x 16 Room</t>
  </si>
  <si>
    <t>Mini 13-1/2 Capacity Data Binder Rack, Pearl</t>
  </si>
  <si>
    <t>CA-2019-163020</t>
  </si>
  <si>
    <t>Meg O'Connel</t>
  </si>
  <si>
    <t>Master Caster Door Stop, Brown</t>
  </si>
  <si>
    <t>CA-2019-153787</t>
  </si>
  <si>
    <t>Annie Thurman</t>
  </si>
  <si>
    <t>Belkin Premiere Surge Master II 8-outlet surge protector</t>
  </si>
  <si>
    <t>CA-2019-133431</t>
  </si>
  <si>
    <t>Acco Pressboard Covers with Storage Hooks, 9 1/2" x 11", Executive Red</t>
  </si>
  <si>
    <t>US-2018-135720</t>
  </si>
  <si>
    <t>Fred McMath</t>
  </si>
  <si>
    <t>Tennsco Regal Shelving Units</t>
  </si>
  <si>
    <t>Imation 32GB Pocket Pro USB 3.0 Flash Drive - 32 GB - Black - 1 P ...</t>
  </si>
  <si>
    <t>Jabra SPEAK 410</t>
  </si>
  <si>
    <t>CA-2019-144694</t>
  </si>
  <si>
    <t>Verbatim 25 GB 6x Blu-ray Single Layer Recordable Disc, 1/Pack</t>
  </si>
  <si>
    <t>CA-2017-168004</t>
  </si>
  <si>
    <t>Denny Joy</t>
  </si>
  <si>
    <t>Warner Robins</t>
  </si>
  <si>
    <t>Office Star - Mesh Screen back chair with Vinyl seat</t>
  </si>
  <si>
    <t>US-2018-123470</t>
  </si>
  <si>
    <t>Max Engle</t>
  </si>
  <si>
    <t>Premium Transparent Presentation Covers by GBC</t>
  </si>
  <si>
    <t>Tripp Lite TLP810NET Broadband Surge for Modem/Fax</t>
  </si>
  <si>
    <t>CA-2018-115917</t>
  </si>
  <si>
    <t>Vallejo</t>
  </si>
  <si>
    <t>Wilson Jones Turn Tabs Binder Tool for Ring Binders</t>
  </si>
  <si>
    <t>CA-2018-147067</t>
  </si>
  <si>
    <t>Justin Deggeller</t>
  </si>
  <si>
    <t>Eldon 200 Class Desk Accessories</t>
  </si>
  <si>
    <t>CA-2019-167913</t>
  </si>
  <si>
    <t>John Lee</t>
  </si>
  <si>
    <t>Mission Viejo</t>
  </si>
  <si>
    <t>Economy Rollaway Files</t>
  </si>
  <si>
    <t>Avery 480</t>
  </si>
  <si>
    <t>CA-2019-106103</t>
  </si>
  <si>
    <t>Sean Christensen</t>
  </si>
  <si>
    <t>Rochester Hills</t>
  </si>
  <si>
    <t>US-2019-127719</t>
  </si>
  <si>
    <t>Plainfield</t>
  </si>
  <si>
    <t>Xerox 1993</t>
  </si>
  <si>
    <t>CA-2019-126221</t>
  </si>
  <si>
    <t>Chuck Clark</t>
  </si>
  <si>
    <t>Eureka The Boss Plus 12-Amp Hard Box Upright Vacuum, Red</t>
  </si>
  <si>
    <t>CA-2018-103947</t>
  </si>
  <si>
    <t>Sierra Vista</t>
  </si>
  <si>
    <t>Belkin F9H710-06 7 Outlet SurgeMaster Surge Protector</t>
  </si>
  <si>
    <t>CA-2018-160745</t>
  </si>
  <si>
    <t>Anthony Rawles</t>
  </si>
  <si>
    <t>Vancouver</t>
  </si>
  <si>
    <t>First Data FD10 PIN Pad</t>
  </si>
  <si>
    <t>CA-2018-132661</t>
  </si>
  <si>
    <t>Steven Roelle</t>
  </si>
  <si>
    <t>CA-2019-140844</t>
  </si>
  <si>
    <t>Sony 16GB Class 10 Micro SDHC R40 Memory Card</t>
  </si>
  <si>
    <t>CA-2018-137239</t>
  </si>
  <si>
    <t>Craig Reiter</t>
  </si>
  <si>
    <t>Tripp Lite Isotel 8 Ultra 8 Outlet Metal Surge</t>
  </si>
  <si>
    <t>Avery Durable Poly Binders</t>
  </si>
  <si>
    <t>Airmail Envelopes</t>
  </si>
  <si>
    <t>US-2018-156097</t>
  </si>
  <si>
    <t>Eugene Hildebrand</t>
  </si>
  <si>
    <t>CA-2017-146563</t>
  </si>
  <si>
    <t>Space Solutions Commercial Steel Shelving</t>
  </si>
  <si>
    <t>CA-2018-123666</t>
  </si>
  <si>
    <t>Sibella Parks</t>
  </si>
  <si>
    <t>CA-2018-143308</t>
  </si>
  <si>
    <t>CA-2019-132682</t>
  </si>
  <si>
    <t>Tiffany House</t>
  </si>
  <si>
    <t>Acme Tagit Stainless Steel Antibacterial Scissors</t>
  </si>
  <si>
    <t>ClearOne Communications CHAT 70 OC Speaker Phone</t>
  </si>
  <si>
    <t>CA-2016-156314</t>
  </si>
  <si>
    <t>Resi Pölking</t>
  </si>
  <si>
    <t>Cleveland</t>
  </si>
  <si>
    <t>Master Giant Foot Doorstop, Safety Yellow</t>
  </si>
  <si>
    <t>US-2019-106663</t>
  </si>
  <si>
    <t>12-1/2 Diameter Round Wall Clock</t>
  </si>
  <si>
    <t>Chromcraft Bull-Nose Wood Round Conference Table Top, Wood Base</t>
  </si>
  <si>
    <t>Adams Telephone Message Book W/Dividers/Space For Phone Numbers, 5 1/4"X8 1/2", 200/Messages</t>
  </si>
  <si>
    <t>CA-2019-111178</t>
  </si>
  <si>
    <t>Newell 331</t>
  </si>
  <si>
    <t>CA-2019-130351</t>
  </si>
  <si>
    <t>Rob Beeghly</t>
  </si>
  <si>
    <t>Kensington 6 Outlet Guardian Standard Surge Protector</t>
  </si>
  <si>
    <t>Southworth 100% Résumé Paper, 24lb.</t>
  </si>
  <si>
    <t>US-2019-119438</t>
  </si>
  <si>
    <t>Carol Darley</t>
  </si>
  <si>
    <t>Tyler</t>
  </si>
  <si>
    <t>Hoover Portapower Portable Vacuum</t>
  </si>
  <si>
    <t>Verbatim 25 GB 6x Blu-ray Single Layer Recordable Disc, 10/Pack</t>
  </si>
  <si>
    <t>Howard Miller 13-1/2" Diameter Rosebrook Wall Clock</t>
  </si>
  <si>
    <t>Ibico Hi-Tech Manual Binding System</t>
  </si>
  <si>
    <t>CA-2018-164511</t>
  </si>
  <si>
    <t>Doug Jacobs</t>
  </si>
  <si>
    <t>Avery Hanging File Binders</t>
  </si>
  <si>
    <t>Fellowes Neat Ideas Storage Cubes</t>
  </si>
  <si>
    <t>US-2019-168116</t>
  </si>
  <si>
    <t>Grant Thornton</t>
  </si>
  <si>
    <t>Burlington</t>
  </si>
  <si>
    <t>Cubify CubeX 3D Printer Triple Head Print</t>
  </si>
  <si>
    <t>CA-2016-157784</t>
  </si>
  <si>
    <t>Michael Chen</t>
  </si>
  <si>
    <t>Avery 516</t>
  </si>
  <si>
    <t>CA-2019-161480</t>
  </si>
  <si>
    <t>Ralph Arnett</t>
  </si>
  <si>
    <t>Bush Andora Bookcase, Maple/Graphite Gray Finish</t>
  </si>
  <si>
    <t>US-2016-117135</t>
  </si>
  <si>
    <t>Naresj Patel</t>
  </si>
  <si>
    <t>Waynesboro</t>
  </si>
  <si>
    <t>Luxo Professional Magnifying Clamp-On Fluorescent Lamps</t>
  </si>
  <si>
    <t>Recycled Eldon Regeneration Jumbo File</t>
  </si>
  <si>
    <t>CA-2017-131534</t>
  </si>
  <si>
    <t>Alan Barnes</t>
  </si>
  <si>
    <t>Imation Bio 8GB USB Flash Drive Imation Corp</t>
  </si>
  <si>
    <t>Xerox 1977</t>
  </si>
  <si>
    <t>CA-2017-119291</t>
  </si>
  <si>
    <t>Jesus Ocampo</t>
  </si>
  <si>
    <t>Chester</t>
  </si>
  <si>
    <t>Avery 490</t>
  </si>
  <si>
    <t>Avery 4027 File Folder Labels for Dot Matrix Printers, 5000 Labels per Box, White</t>
  </si>
  <si>
    <t>Binney &amp; Smith Crayola Metallic Crayons, 16-Color Pack</t>
  </si>
  <si>
    <t>GBC Linen Binding Covers</t>
  </si>
  <si>
    <t>CA-2019-114552</t>
  </si>
  <si>
    <t>CA-2018-163755</t>
  </si>
  <si>
    <t>Tenex "The Solids" Textured Chair Mats</t>
  </si>
  <si>
    <t>CA-2017-142027</t>
  </si>
  <si>
    <t>Jay Kimmel</t>
  </si>
  <si>
    <t>Laminate Occasional Tables</t>
  </si>
  <si>
    <t>CA-2016-138527</t>
  </si>
  <si>
    <t>Brad Norvell</t>
  </si>
  <si>
    <t>Cary</t>
  </si>
  <si>
    <t>Xerox 220</t>
  </si>
  <si>
    <t>Fellowes 8 Outlet Superior Workstation Surge Protector</t>
  </si>
  <si>
    <t>CA-2016-112158</t>
  </si>
  <si>
    <t>David Philippe</t>
  </si>
  <si>
    <t>O'Sullivan Living Dimensions 5-Shelf Bookcases</t>
  </si>
  <si>
    <t>CA-2016-113887</t>
  </si>
  <si>
    <t>Tracy Hopkins</t>
  </si>
  <si>
    <t>CA-2019-146136</t>
  </si>
  <si>
    <t>Arthur Prichep</t>
  </si>
  <si>
    <t>Palm Coast</t>
  </si>
  <si>
    <t>#10- 4 1/8" x 9 1/2" Security-Tint Envelopes</t>
  </si>
  <si>
    <t>US-2019-100048</t>
  </si>
  <si>
    <t>Roland Schwarz</t>
  </si>
  <si>
    <t>Mount Vernon</t>
  </si>
  <si>
    <t>Bionaire Personal Warm Mist Humidifier/Vaporizer</t>
  </si>
  <si>
    <t>Logitech Wireless Performance Mouse MX for PC and Mac</t>
  </si>
  <si>
    <t>CA-2016-153150</t>
  </si>
  <si>
    <t>Cardinal Holdit Business Card Pockets</t>
  </si>
  <si>
    <t>CA-2016-130092</t>
  </si>
  <si>
    <t>Seth Vernon</t>
  </si>
  <si>
    <t>CA-2019-108910</t>
  </si>
  <si>
    <t>Howard Miller 13" Diameter Pewter Finish Round Wall Clock</t>
  </si>
  <si>
    <t>CA-2016-104472</t>
  </si>
  <si>
    <t>Christine Kargatis</t>
  </si>
  <si>
    <t>CA-2018-112942</t>
  </si>
  <si>
    <t>Ross DeVincentis</t>
  </si>
  <si>
    <t>Tops Green Bar Computer Printout Paper</t>
  </si>
  <si>
    <t>CA-2018-142335</t>
  </si>
  <si>
    <t>Chromcraft Bull-Nose Wood Oval Conference Tables &amp; Bases</t>
  </si>
  <si>
    <t>Recycled Data-Pak for Archival Bound Computer Printouts, 12-1/2 x 12-1/2 x 16</t>
  </si>
  <si>
    <t>CA-2016-117429</t>
  </si>
  <si>
    <t>Mathew Reese</t>
  </si>
  <si>
    <t>Seth Thomas 16" Steel Case Clock</t>
  </si>
  <si>
    <t>CA-2018-114713</t>
  </si>
  <si>
    <t>Steve Chapman</t>
  </si>
  <si>
    <t>Hialeah</t>
  </si>
  <si>
    <t>Acme Softgrip Scissors</t>
  </si>
  <si>
    <t>CA-2019-144113</t>
  </si>
  <si>
    <t>Jay Fein</t>
  </si>
  <si>
    <t>Manila Recycled Extra-Heavyweight Clasp Envelopes, 6" x 9"</t>
  </si>
  <si>
    <t>ClearSounds CSC500 Amplified Spirit Phone Corded phone</t>
  </si>
  <si>
    <t>US-2018-150861</t>
  </si>
  <si>
    <t>Emily Grady</t>
  </si>
  <si>
    <t>Oceanside</t>
  </si>
  <si>
    <t>Xerox 1964</t>
  </si>
  <si>
    <t>Bevis Traditional Conference Table Top, Plinth Base</t>
  </si>
  <si>
    <t>Personal Folder Holder, Ebony</t>
  </si>
  <si>
    <t>CA-2019-131954</t>
  </si>
  <si>
    <t>Darrin Sayre</t>
  </si>
  <si>
    <t>Logitech Illuminated - Keyboard</t>
  </si>
  <si>
    <t>O'Sullivan Cherrywood Estates Traditional Bookcase</t>
  </si>
  <si>
    <t>Acco Translucent Poly Ring Binders</t>
  </si>
  <si>
    <t>CA-2016-132500</t>
  </si>
  <si>
    <t>Logitech Wireless Touch Keyboard K400</t>
  </si>
  <si>
    <t>CA-2016-112326</t>
  </si>
  <si>
    <t>Phillina Ober</t>
  </si>
  <si>
    <t>Avery 508</t>
  </si>
  <si>
    <t>GBC Standard Plastic Binding Systems Combs</t>
  </si>
  <si>
    <t>US-2018-146710</t>
  </si>
  <si>
    <t>Sung Shariari</t>
  </si>
  <si>
    <t>Xerox 196</t>
  </si>
  <si>
    <t>Fiskars 8" Scissors, 2/Pack</t>
  </si>
  <si>
    <t>CA-2016-124429</t>
  </si>
  <si>
    <t>CA-2018-150889</t>
  </si>
  <si>
    <t>Peter Bühler</t>
  </si>
  <si>
    <t>Evanston</t>
  </si>
  <si>
    <t>Belkin iPhone and iPad Lightning Cable</t>
  </si>
  <si>
    <t>CA-2019-126074</t>
  </si>
  <si>
    <t>Roland Fjeld</t>
  </si>
  <si>
    <t>Trenton</t>
  </si>
  <si>
    <t>GBC Durable Plastic Covers</t>
  </si>
  <si>
    <t>Nu-Dell Leatherette Frames</t>
  </si>
  <si>
    <t>Avery Durable Binders</t>
  </si>
  <si>
    <t>CA-2018-110499</t>
  </si>
  <si>
    <t>Yoseph Carroll</t>
  </si>
  <si>
    <t>Hewlett Packard 610 Color Digital Copier / Printer</t>
  </si>
  <si>
    <t>CA-2017-135272</t>
  </si>
  <si>
    <t>CA-2018-140928</t>
  </si>
  <si>
    <t>Chromcraft Round Conference Tables</t>
  </si>
  <si>
    <t>CA-2016-106803</t>
  </si>
  <si>
    <t>Debra Catini</t>
  </si>
  <si>
    <t>Cottage Grove</t>
  </si>
  <si>
    <t>CA-2019-117240</t>
  </si>
  <si>
    <t>Christine Phan</t>
  </si>
  <si>
    <t>CA-2019-133333</t>
  </si>
  <si>
    <t>Barry Französisch</t>
  </si>
  <si>
    <t>CA-2017-112319</t>
  </si>
  <si>
    <t>CA-2019-126046</t>
  </si>
  <si>
    <t>Avery 476</t>
  </si>
  <si>
    <t>CA-2017-114923</t>
  </si>
  <si>
    <t>Lisa Hazard</t>
  </si>
  <si>
    <t>CA-2016-162775</t>
  </si>
  <si>
    <t>Chris Selesnick</t>
  </si>
  <si>
    <t>Bossier City</t>
  </si>
  <si>
    <t>Brown Kraft Recycled Envelopes</t>
  </si>
  <si>
    <t>Plantronics S12 Corded Telephone Headset System</t>
  </si>
  <si>
    <t>3-ring staple pack</t>
  </si>
  <si>
    <t>Fellowes Stor/Drawer Steel Plus Storage Drawers</t>
  </si>
  <si>
    <t>CA-2016-106810</t>
  </si>
  <si>
    <t>Anthony Johnson</t>
  </si>
  <si>
    <t>Electrix Halogen Magnifier Lamp</t>
  </si>
  <si>
    <t>CA-2018-157245</t>
  </si>
  <si>
    <t>Hon 4070 Series Pagoda Round Back Stacking Chairs</t>
  </si>
  <si>
    <t>CA-2019-104220</t>
  </si>
  <si>
    <t>Benjamin Venier</t>
  </si>
  <si>
    <t>Cardinal EasyOpen D-Ring Binders</t>
  </si>
  <si>
    <t>GBC Instant Report Kit</t>
  </si>
  <si>
    <t>Boston 19500 Mighty Mite Electric Pencil Sharpener</t>
  </si>
  <si>
    <t>C-Line Magnetic Cubicle Keepers, Clear Polypropylene</t>
  </si>
  <si>
    <t>CA-2016-165974</t>
  </si>
  <si>
    <t>Dan Lawera</t>
  </si>
  <si>
    <t>Dixon My First Ticonderoga Pencil, #2</t>
  </si>
  <si>
    <t>CA-2017-144267</t>
  </si>
  <si>
    <t>Hon GuestStacker Chair</t>
  </si>
  <si>
    <t>Xerox 1927</t>
  </si>
  <si>
    <t>US-2017-157014</t>
  </si>
  <si>
    <t>Bryan Mills</t>
  </si>
  <si>
    <t>Safco Value Mate Series Steel Bookcases, Baked Enamel Finish on Steel, Gray</t>
  </si>
  <si>
    <t>Microsoft Natural Ergonomic Keyboard 4000</t>
  </si>
  <si>
    <t>CA-2017-154921</t>
  </si>
  <si>
    <t>Cameo Buff Policy Envelopes</t>
  </si>
  <si>
    <t>CA-2019-129567</t>
  </si>
  <si>
    <t>Lancaster</t>
  </si>
  <si>
    <t>Heavy-Duty E-Z-D Binders</t>
  </si>
  <si>
    <t>CA-2017-154620</t>
  </si>
  <si>
    <t>Liz Thompson</t>
  </si>
  <si>
    <t>Lifetime Advantage Folding Chairs, 4/Carton</t>
  </si>
  <si>
    <t>CA-2017-115938</t>
  </si>
  <si>
    <t>Acco PRESSTEX Data Binder with Storage Hooks, Dark Blue, 9 1/2" X 11"</t>
  </si>
  <si>
    <t>Office Star - Contemporary Task Swivel Chair</t>
  </si>
  <si>
    <t>CA-2018-105256</t>
  </si>
  <si>
    <t>Joe Kamberova</t>
  </si>
  <si>
    <t>Asheville</t>
  </si>
  <si>
    <t>Cisco Unified IP Phone 7945G VoIP phone</t>
  </si>
  <si>
    <t>CA-2016-156433</t>
  </si>
  <si>
    <t>Erica Smith</t>
  </si>
  <si>
    <t>Avery 499</t>
  </si>
  <si>
    <t>CA-2019-151428</t>
  </si>
  <si>
    <t>Rick Hansen</t>
  </si>
  <si>
    <t>CA-2017-124653</t>
  </si>
  <si>
    <t>Xerox 1887</t>
  </si>
  <si>
    <t>Smead Alpha-Z Color-Coded Second Alphabetical Labels and Starter Set</t>
  </si>
  <si>
    <t>CA-2017-101910</t>
  </si>
  <si>
    <t>Carlos Daly</t>
  </si>
  <si>
    <t>Lake Elsinore</t>
  </si>
  <si>
    <t>CA-2019-105809</t>
  </si>
  <si>
    <t>Helen Wasserman</t>
  </si>
  <si>
    <t>Executive Impressions 14" Contract Wall Clock</t>
  </si>
  <si>
    <t>CA-2018-136133</t>
  </si>
  <si>
    <t>Belkin 7 Outlet SurgeMaster II</t>
  </si>
  <si>
    <t>CA-2018-115504</t>
  </si>
  <si>
    <t>Mike Caudle</t>
  </si>
  <si>
    <t>Xerox 218</t>
  </si>
  <si>
    <t>CA-2019-135783</t>
  </si>
  <si>
    <t>Gary McGarr</t>
  </si>
  <si>
    <t>Eldon Stackable Tray, Side-Load, Legal, Smoke</t>
  </si>
  <si>
    <t>CA-2016-134313</t>
  </si>
  <si>
    <t>Model L Table or Wall-Mount Pencil Sharpener</t>
  </si>
  <si>
    <t>ClearOne CHATAttach 160 - speaker phone</t>
  </si>
  <si>
    <t>CA-2017-140921</t>
  </si>
  <si>
    <t>Omaha</t>
  </si>
  <si>
    <t>Kensington SlimBlade Notebook Wireless Mouse with Nano Receiver</t>
  </si>
  <si>
    <t>CA-2016-151995</t>
  </si>
  <si>
    <t>Edmonds</t>
  </si>
  <si>
    <t>Newell 32</t>
  </si>
  <si>
    <t>Belkin F9G930V10-GRY 9 Outlet Surge</t>
  </si>
  <si>
    <t>CA-2019-143686</t>
  </si>
  <si>
    <t>Pauline Johnson</t>
  </si>
  <si>
    <t>Santa Ana</t>
  </si>
  <si>
    <t>Razer Tiamat Over Ear 7.1 Surround Sound PC Gaming Headset</t>
  </si>
  <si>
    <t>CA-2017-106565</t>
  </si>
  <si>
    <t>Bart Watters</t>
  </si>
  <si>
    <t>Milwaukee</t>
  </si>
  <si>
    <t>CA-2018-149370</t>
  </si>
  <si>
    <t>Xerox 1968</t>
  </si>
  <si>
    <t>CA-2016-140858</t>
  </si>
  <si>
    <t>Self-Adhesive Ring Binder Labels</t>
  </si>
  <si>
    <t>Global Leather Executive Chair</t>
  </si>
  <si>
    <t>GBC Recycled Grain Textured Covers</t>
  </si>
  <si>
    <t>Xerox 1941</t>
  </si>
  <si>
    <t>CA-2019-101434</t>
  </si>
  <si>
    <t>Toby Ritter</t>
  </si>
  <si>
    <t>Razer Kraken PRO Over Ear PC and Music Headset</t>
  </si>
  <si>
    <t>US-2016-102071</t>
  </si>
  <si>
    <t>Patrick Gardner</t>
  </si>
  <si>
    <t>Kingston Digital DataTraveler 32GB USB 2.0</t>
  </si>
  <si>
    <t>CA-2019-126956</t>
  </si>
  <si>
    <t>Advantus Plastic Paper Clips</t>
  </si>
  <si>
    <t>Acme Forged Steel Scissors with Black Enamel Handles</t>
  </si>
  <si>
    <t>Security-Tint Envelopes</t>
  </si>
  <si>
    <t>CA-2019-129462</t>
  </si>
  <si>
    <t>Florence</t>
  </si>
  <si>
    <t>Global Airflow Leather Mesh Back Chair, Black</t>
  </si>
  <si>
    <t>Fellowes Smart Surge Ten-Outlet Protector, Platinum</t>
  </si>
  <si>
    <t>Pyle PMP37LED</t>
  </si>
  <si>
    <t>Clarity 53712</t>
  </si>
  <si>
    <t>CA-2018-165316</t>
  </si>
  <si>
    <t>Boston 16801 Nautilus Battery Pencil Sharpener</t>
  </si>
  <si>
    <t>Holmes Replacement Filter for HEPA Air Cleaner, Large Room</t>
  </si>
  <si>
    <t>Zebra GX420t Direct Thermal/Thermal Transfer Printer</t>
  </si>
  <si>
    <t>US-2016-115987</t>
  </si>
  <si>
    <t>GBC ProClick Punch Binding System</t>
  </si>
  <si>
    <t>US-2019-156083</t>
  </si>
  <si>
    <t>James Lanier</t>
  </si>
  <si>
    <t>Adams Telephone Message Books, 5 1/4” x 11”</t>
  </si>
  <si>
    <t>US-2018-137547</t>
  </si>
  <si>
    <t>CA-2017-100454</t>
  </si>
  <si>
    <t>Brian Moss</t>
  </si>
  <si>
    <t>Newell 335</t>
  </si>
  <si>
    <t>O'Sullivan 3-Shelf Heavy-Duty Bookcases</t>
  </si>
  <si>
    <t>CA-2018-161669</t>
  </si>
  <si>
    <t>Eudokia Martin</t>
  </si>
  <si>
    <t>Fellowes Binding Cases</t>
  </si>
  <si>
    <t>Ibico Plastic and Wire Spiral Binding Combs</t>
  </si>
  <si>
    <t>Acme Preferred Stainless Steel Scissors</t>
  </si>
  <si>
    <t>Avery 486</t>
  </si>
  <si>
    <t>CA-2017-114300</t>
  </si>
  <si>
    <t>Art Foster</t>
  </si>
  <si>
    <t>CA-2019-107503</t>
  </si>
  <si>
    <t>Guy Armstrong</t>
  </si>
  <si>
    <t>Lorain</t>
  </si>
  <si>
    <t>Linden 10" Round Wall Clock, Black</t>
  </si>
  <si>
    <t>CA-2016-107755</t>
  </si>
  <si>
    <t>Cyma Kinney</t>
  </si>
  <si>
    <t>Linden</t>
  </si>
  <si>
    <t>Maxell DVD-RAM Discs</t>
  </si>
  <si>
    <t>CA-2018-152534</t>
  </si>
  <si>
    <t>Dave Poirier</t>
  </si>
  <si>
    <t>Salinas</t>
  </si>
  <si>
    <t>DIXON Oriole Pencils</t>
  </si>
  <si>
    <t>Xerox 202</t>
  </si>
  <si>
    <t>CA-2018-113747</t>
  </si>
  <si>
    <t>CA-2018-123274</t>
  </si>
  <si>
    <t>CA-2016-125612</t>
  </si>
  <si>
    <t>Berenike Kampe</t>
  </si>
  <si>
    <t>Xerox 1884</t>
  </si>
  <si>
    <t>Acme Box Cutter Scissors</t>
  </si>
  <si>
    <t>Staple magnet</t>
  </si>
  <si>
    <t>CA-2019-161984</t>
  </si>
  <si>
    <t>Sanjit Jacobs</t>
  </si>
  <si>
    <t>New Brunswick</t>
  </si>
  <si>
    <t>CA-2016-133851</t>
  </si>
  <si>
    <t>Chuck Magee</t>
  </si>
  <si>
    <t>Deluxe Chalkboard Eraser Cleaner</t>
  </si>
  <si>
    <t>CA-2018-134474</t>
  </si>
  <si>
    <t>Logitech MX Performance Wireless Mouse</t>
  </si>
  <si>
    <t>Newell 337</t>
  </si>
  <si>
    <t>Logitech B530 USB Headset - headset - Full size, Binaural</t>
  </si>
  <si>
    <t>CA-2016-149020</t>
  </si>
  <si>
    <t>Anthony Jacobs</t>
  </si>
  <si>
    <t>Avery 482</t>
  </si>
  <si>
    <t>Howard Miller 11-1/2" Diameter Ridgewood Wall Clock</t>
  </si>
  <si>
    <t>CA-2018-134362</t>
  </si>
  <si>
    <t>Linda Southworth</t>
  </si>
  <si>
    <t>Avery 483</t>
  </si>
  <si>
    <t>CA-2016-136742</t>
  </si>
  <si>
    <t>Guy Phonely</t>
  </si>
  <si>
    <t>Large Capacity Hanging Post Binders</t>
  </si>
  <si>
    <t>CA-2018-158099</t>
  </si>
  <si>
    <t>Paul Knutson</t>
  </si>
  <si>
    <t>GBC Ibimaster 500 Manual ProClick Binding System</t>
  </si>
  <si>
    <t>CA-2017-131128</t>
  </si>
  <si>
    <t>New Hampshire</t>
  </si>
  <si>
    <t>Southworth 100% Cotton The Best Paper</t>
  </si>
  <si>
    <t>CA-2016-148488</t>
  </si>
  <si>
    <t>Sally Matthias</t>
  </si>
  <si>
    <t>CA-2019-114636</t>
  </si>
  <si>
    <t>Xerox 1910</t>
  </si>
  <si>
    <t>CA-2018-116736</t>
  </si>
  <si>
    <t>Logitech G19 Programmable Gaming Keyboard</t>
  </si>
  <si>
    <t>US-2016-158638</t>
  </si>
  <si>
    <t>Anthony Garverick</t>
  </si>
  <si>
    <t>Acco Pressboard Covers with Storage Hooks, 14 7/8" x 11", Light Blue</t>
  </si>
  <si>
    <t>CA-2019-111689</t>
  </si>
  <si>
    <t>Lock-Up Easel 'Spel-Binder'</t>
  </si>
  <si>
    <t>CA-2017-129098</t>
  </si>
  <si>
    <t>US-2019-123463</t>
  </si>
  <si>
    <t>CA-2018-165148</t>
  </si>
  <si>
    <t>Peter McVee</t>
  </si>
  <si>
    <t>CA-2016-134061</t>
  </si>
  <si>
    <t>Lauren Leatherbury</t>
  </si>
  <si>
    <t>Dax Clear Box Frame</t>
  </si>
  <si>
    <t>CA-2017-143602</t>
  </si>
  <si>
    <t>Jill Stevenson</t>
  </si>
  <si>
    <t>Fellowes Black Plastic Comb Bindings</t>
  </si>
  <si>
    <t>CA-2019-115364</t>
  </si>
  <si>
    <t>Eldon Shelf Savers Cubes and Bins</t>
  </si>
  <si>
    <t>CA-2019-150707</t>
  </si>
  <si>
    <t>Ed Ludwig</t>
  </si>
  <si>
    <t>Maryland</t>
  </si>
  <si>
    <t>CA-2016-104976</t>
  </si>
  <si>
    <t>CA-2019-132934</t>
  </si>
  <si>
    <t>Anker Ultrathin Bluetooth Wireless Keyboard Aluminum Cover with Stand</t>
  </si>
  <si>
    <t>CA-2019-133256</t>
  </si>
  <si>
    <t>Ampad Poly Cover Wirebound Steno Book, 6" x 9" Assorted Colors, Gregg Ruled</t>
  </si>
  <si>
    <t>Fluorescent Highlighters by Dixon</t>
  </si>
  <si>
    <t>Nortel Networks T7316 E Nt8 B27</t>
  </si>
  <si>
    <t>CA-2018-105494</t>
  </si>
  <si>
    <t>Pamela Coakley</t>
  </si>
  <si>
    <t>Binding Machine Supplies</t>
  </si>
  <si>
    <t>CA-2018-140634</t>
  </si>
  <si>
    <t>Hunter Lopez</t>
  </si>
  <si>
    <t>CA-2016-144407</t>
  </si>
  <si>
    <t>Maribeth Schnelling</t>
  </si>
  <si>
    <t>CA-2019-160983</t>
  </si>
  <si>
    <t>George Bell</t>
  </si>
  <si>
    <t>Things To Do Today Pad</t>
  </si>
  <si>
    <t>US-2018-114622</t>
  </si>
  <si>
    <t>Justin Ritter</t>
  </si>
  <si>
    <t>Wilson Jones Hanging Recycled Pressboard Data Binders</t>
  </si>
  <si>
    <t>CA-2019-150959</t>
  </si>
  <si>
    <t>Garland</t>
  </si>
  <si>
    <t>Permanent Self-Adhesive File Folder Labels for Typewriters by Universal</t>
  </si>
  <si>
    <t>Deluxe Heavy-Duty Vinyl Round Ring Binder</t>
  </si>
  <si>
    <t>CA-2019-132353</t>
  </si>
  <si>
    <t>CA-2018-130477</t>
  </si>
  <si>
    <t>Xerox 1923</t>
  </si>
  <si>
    <t>Xerox 1931</t>
  </si>
  <si>
    <t>CA-2019-143259</t>
  </si>
  <si>
    <t>Bush Westfield Collection Bookcases, Fully Assembled</t>
  </si>
  <si>
    <t>Gear Head AU3700S Headset</t>
  </si>
  <si>
    <t>Wilson Jones Legal Size Ring Binders</t>
  </si>
  <si>
    <t>CA-2019-137596</t>
  </si>
  <si>
    <t>Bill Eplett</t>
  </si>
  <si>
    <t>Polycom CX600 IP Phone VoIP phone</t>
  </si>
  <si>
    <t>Maxell iVDR EX 500GB Cartridge</t>
  </si>
  <si>
    <t>Fellowes High-Stak Drawer Files</t>
  </si>
  <si>
    <t>CA-2017-133627</t>
  </si>
  <si>
    <t>Sample Company A</t>
  </si>
  <si>
    <t>Norwich</t>
  </si>
  <si>
    <t>CA-2019-102519</t>
  </si>
  <si>
    <t>US-2016-141215</t>
  </si>
  <si>
    <t>Lesro Sheffield Collection Coffee Table, End Table, Center Table, Corner Table</t>
  </si>
  <si>
    <t>CA-2018-165218</t>
  </si>
  <si>
    <t>Rob Williams</t>
  </si>
  <si>
    <t>Acco Perma 4000 Stacking Storage Drawers</t>
  </si>
  <si>
    <t>CA-2016-138296</t>
  </si>
  <si>
    <t>Alexandria</t>
  </si>
  <si>
    <t>CA-2017-111164</t>
  </si>
  <si>
    <t>Sanjit Engle</t>
  </si>
  <si>
    <t>Maxell 4.7GB DVD-R</t>
  </si>
  <si>
    <t>OtterBox Commuter Series Case - iPhone 5 &amp; 5s</t>
  </si>
  <si>
    <t>Kensington 4 Outlet MasterPiece Compact Power Control Center</t>
  </si>
  <si>
    <t>CA-2018-149797</t>
  </si>
  <si>
    <t>Adam Hart</t>
  </si>
  <si>
    <t>CA-2016-132962</t>
  </si>
  <si>
    <t>Jessica Myrick</t>
  </si>
  <si>
    <t>Xerox 1985</t>
  </si>
  <si>
    <t>Hypercom P1300 Pinpad</t>
  </si>
  <si>
    <t>CA-2017-115091</t>
  </si>
  <si>
    <t>Joel Jenkins</t>
  </si>
  <si>
    <t>CA-2019-144932</t>
  </si>
  <si>
    <t>Toledo</t>
  </si>
  <si>
    <t>Sanford Prismacolor Professional Thick Lead Art Pencils, 36-Color Set</t>
  </si>
  <si>
    <t>CA-2019-114216</t>
  </si>
  <si>
    <t>Ralph Kennedy</t>
  </si>
  <si>
    <t>RSVP Cards &amp; Envelopes, Blank White, 8-1/2" X 11", 24 Cards/25 Envelopes/Set</t>
  </si>
  <si>
    <t>CA-2018-140081</t>
  </si>
  <si>
    <t>Catherine Glotzbach</t>
  </si>
  <si>
    <t>Wirebound Message Books, 2 7/8" x 5", 3 Forms per Page</t>
  </si>
  <si>
    <t>JM Magazine Binder</t>
  </si>
  <si>
    <t>US-2019-111745</t>
  </si>
  <si>
    <t>Farmington</t>
  </si>
  <si>
    <t>CA-2017-148250</t>
  </si>
  <si>
    <t>Rachel Payne</t>
  </si>
  <si>
    <t>Riverside</t>
  </si>
  <si>
    <t>Xerox 213</t>
  </si>
  <si>
    <t>Fellowes 8 Outlet Superior Workstation Surge Protector w/o Phone/Fax/Modem Protection</t>
  </si>
  <si>
    <t>CA-2018-105760</t>
  </si>
  <si>
    <t>Karen Carlisle</t>
  </si>
  <si>
    <t>Message Book, Standard Line "While You Were Out", 5 1/2" X 4", 200 Sets/Book</t>
  </si>
  <si>
    <t>CA-2018-142958</t>
  </si>
  <si>
    <t>Torrance</t>
  </si>
  <si>
    <t>Acco Pressboard Covers with Storage Hooks, 14 7/8" x 11", Dark Blue</t>
  </si>
  <si>
    <t>CA-2017-120880</t>
  </si>
  <si>
    <t>Standard Rollaway File with Lock</t>
  </si>
  <si>
    <t>Avery Trapezoid Extra Heavy Duty 4" Binders</t>
  </si>
  <si>
    <t>US-2017-140200</t>
  </si>
  <si>
    <t>Bevis Boat-Shaped Conference Table</t>
  </si>
  <si>
    <t>US-2019-110576</t>
  </si>
  <si>
    <t>Deflect-o RollaMat Studded, Beveled Mat for Medium Pile Carpeting</t>
  </si>
  <si>
    <t>Riverside Furniture Oval Coffee Table, Oval End Table, End Table with Drawer</t>
  </si>
  <si>
    <t>Xerox 210</t>
  </si>
  <si>
    <t>CA-2019-131156</t>
  </si>
  <si>
    <t>Katherine Hughes</t>
  </si>
  <si>
    <t>CA-2019-136539</t>
  </si>
  <si>
    <t>Greg Hansen</t>
  </si>
  <si>
    <t>Round Rock</t>
  </si>
  <si>
    <t>CA-2019-119305</t>
  </si>
  <si>
    <t>Scott Williamson</t>
  </si>
  <si>
    <t>CA-2019-102414</t>
  </si>
  <si>
    <t>Joseph Airdo</t>
  </si>
  <si>
    <t>Avery Durable Slant Ring Binders</t>
  </si>
  <si>
    <t>Universal Ultra Bright White Copier/Laser Paper, 8 1/2" x 11", Ream</t>
  </si>
  <si>
    <t>CA-2017-112571</t>
  </si>
  <si>
    <t>Daniel Lacy</t>
  </si>
  <si>
    <t>Luxo Professional Combination Clamp-On Lamps</t>
  </si>
  <si>
    <t>CA-2019-152142</t>
  </si>
  <si>
    <t>Lindsay Williams</t>
  </si>
  <si>
    <t>CA-2017-160059</t>
  </si>
  <si>
    <t>Thomas Brumley</t>
  </si>
  <si>
    <t>Zipper Ring Binder Pockets</t>
  </si>
  <si>
    <t>CA-2018-120859</t>
  </si>
  <si>
    <t>CA-2016-127488</t>
  </si>
  <si>
    <t>Boca Raton</t>
  </si>
  <si>
    <t>Avery File Folder Labels</t>
  </si>
  <si>
    <t>CA-2019-135279</t>
  </si>
  <si>
    <t>Bryan Spruell</t>
  </si>
  <si>
    <t>Color-Coded Legal Exhibit Labels</t>
  </si>
  <si>
    <t>Xerox 212</t>
  </si>
  <si>
    <t>Computer Printout Paper with Letter-Trim Fine Perforations</t>
  </si>
  <si>
    <t>Office Impressions Heavy Duty Welded Shelving &amp; Multimedia Storage Drawers</t>
  </si>
  <si>
    <t>CA-2016-115791</t>
  </si>
  <si>
    <t>DAX Black Cherry Wood-Tone Poster Frame</t>
  </si>
  <si>
    <t>US-2019-103247</t>
  </si>
  <si>
    <t>US-2019-100209</t>
  </si>
  <si>
    <t>Wilson Jones Easy Flow II Sheet Lifters</t>
  </si>
  <si>
    <t>CA-2019-159366</t>
  </si>
  <si>
    <t>CA-2018-145499</t>
  </si>
  <si>
    <t>Robert Waldorf</t>
  </si>
  <si>
    <t>CA-2017-157035</t>
  </si>
  <si>
    <t>Xerox 188</t>
  </si>
  <si>
    <t>CA-2018-144939</t>
  </si>
  <si>
    <t>CA-2016-163419</t>
  </si>
  <si>
    <t>Tracy Zic</t>
  </si>
  <si>
    <t>BIC Brite Liner Grip Highlighters, Assorted, 5/Pack</t>
  </si>
  <si>
    <t>Samsung Galaxy S III - 16GB - pebble blue (T-Mobile)</t>
  </si>
  <si>
    <t>CA-2019-100314</t>
  </si>
  <si>
    <t>Ann Steele</t>
  </si>
  <si>
    <t>#10- 4 1/8" x 9 1/2" Recycled Envelopes</t>
  </si>
  <si>
    <t>Wasp CCD Handheld Bar Code Reader</t>
  </si>
  <si>
    <t>CA-2017-146829</t>
  </si>
  <si>
    <t>Toby Swindell</t>
  </si>
  <si>
    <t>Acco Suede Grain Vinyl Round Ring Binder</t>
  </si>
  <si>
    <t>CA-2019-167899</t>
  </si>
  <si>
    <t>Bulldog Table or Wall-Mount Pencil Sharpener</t>
  </si>
  <si>
    <t>CA-2017-153549</t>
  </si>
  <si>
    <t>Sara Luxemburg</t>
  </si>
  <si>
    <t>CA-2018-110023</t>
  </si>
  <si>
    <t>CA-2018-105585</t>
  </si>
  <si>
    <t>Xerox 1979</t>
  </si>
  <si>
    <t>CA-2016-117639</t>
  </si>
  <si>
    <t>Mitch Willingham</t>
  </si>
  <si>
    <t>Virginia Beach</t>
  </si>
  <si>
    <t>Fellowes PB300 Plastic Comb Binding Machine</t>
  </si>
  <si>
    <t>Plantronics Voyager Pro Legend</t>
  </si>
  <si>
    <t>CA-2017-162537</t>
  </si>
  <si>
    <t>Rob Dowd</t>
  </si>
  <si>
    <t>Laser &amp; Ink Jet Business Envelopes</t>
  </si>
  <si>
    <t>Portable Personal File Box</t>
  </si>
  <si>
    <t>Magna Visual Magnetic Picture Hangers</t>
  </si>
  <si>
    <t>Sum of Profit</t>
  </si>
  <si>
    <t>Count of Order ID</t>
  </si>
  <si>
    <t>Sum of Sales</t>
  </si>
  <si>
    <t>Years (Order Date)</t>
  </si>
  <si>
    <t>Quarters (Order Date)</t>
  </si>
  <si>
    <t>2016</t>
  </si>
  <si>
    <t>2017</t>
  </si>
  <si>
    <t>2018</t>
  </si>
  <si>
    <t>2019</t>
  </si>
  <si>
    <t>Qtr1</t>
  </si>
  <si>
    <t>Qtr2</t>
  </si>
  <si>
    <t>Qtr3</t>
  </si>
  <si>
    <t>Qtr4</t>
  </si>
  <si>
    <t>Sum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</si>
</sst>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_);_(* \(#,##0\);_(* &quot;-&quot;??_);_(@_)"/>
  </numFmts>
  <fonts count="6" x14ac:knownFonts="1">
    <font>
      <sz val="10"/>
      <name val="MS Sans Serif"/>
    </font>
    <font>
      <sz val="10"/>
      <name val="MS Sans Serif"/>
    </font>
    <font>
      <b/>
      <sz val="18"/>
      <name val="MS Sans Serif"/>
    </font>
    <font>
      <b/>
      <sz val="20"/>
      <name val="MS Sans Serif"/>
    </font>
    <font>
      <b/>
      <sz val="14"/>
      <name val="MS Sans Serif"/>
    </font>
    <font>
      <sz val="18"/>
      <name val="MS Sans Serif"/>
    </font>
  </fonts>
  <fills count="3">
    <fill>
      <patternFill patternType="none"/>
    </fill>
    <fill>
      <patternFill patternType="gray125"/>
    </fill>
    <fill>
      <patternFill patternType="solid">
        <fgColor theme="2" tint="-0.499984740745262"/>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0" borderId="0" xfId="0" quotePrefix="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4" fontId="0" fillId="0" borderId="0" xfId="0" applyNumberFormat="1"/>
    <xf numFmtId="41" fontId="0" fillId="0" borderId="0" xfId="0" applyNumberFormat="1"/>
    <xf numFmtId="164" fontId="0" fillId="0" borderId="5" xfId="0" applyNumberFormat="1" applyBorder="1"/>
    <xf numFmtId="9" fontId="0" fillId="0" borderId="0" xfId="0" applyNumberFormat="1"/>
    <xf numFmtId="1" fontId="0" fillId="0" borderId="0" xfId="0" applyNumberFormat="1"/>
    <xf numFmtId="1" fontId="0" fillId="0" borderId="5" xfId="0" applyNumberFormat="1" applyBorder="1"/>
    <xf numFmtId="0" fontId="0" fillId="2" borderId="0" xfId="0" applyFill="1"/>
    <xf numFmtId="0" fontId="4" fillId="2" borderId="0" xfId="0" applyFont="1" applyFill="1" applyAlignment="1">
      <alignment horizontal="center" vertical="center"/>
    </xf>
    <xf numFmtId="1" fontId="0" fillId="2" borderId="0" xfId="0" applyNumberFormat="1" applyFill="1"/>
    <xf numFmtId="0" fontId="2" fillId="2" borderId="0" xfId="0" applyFont="1" applyFill="1"/>
    <xf numFmtId="1" fontId="3" fillId="2" borderId="0" xfId="0" applyNumberFormat="1" applyFont="1" applyFill="1" applyAlignment="1">
      <alignment horizontal="center" vertical="center"/>
    </xf>
    <xf numFmtId="0" fontId="2" fillId="2" borderId="0" xfId="0" applyFont="1" applyFill="1" applyAlignment="1">
      <alignment horizontal="center" vertical="center"/>
    </xf>
    <xf numFmtId="9" fontId="5" fillId="0" borderId="0" xfId="1" applyFont="1" applyFill="1" applyAlignment="1">
      <alignment horizontal="center" vertical="center"/>
    </xf>
    <xf numFmtId="0" fontId="0" fillId="0" borderId="0" xfId="0" applyNumberFormat="1"/>
    <xf numFmtId="0" fontId="0" fillId="0" borderId="10" xfId="0" applyBorder="1"/>
    <xf numFmtId="0" fontId="0" fillId="0" borderId="11" xfId="0" applyBorder="1"/>
    <xf numFmtId="0" fontId="0" fillId="0" borderId="12" xfId="0" applyBorder="1"/>
    <xf numFmtId="9" fontId="0" fillId="0" borderId="10" xfId="0" applyNumberFormat="1" applyBorder="1"/>
    <xf numFmtId="9" fontId="0" fillId="0" borderId="11" xfId="0" applyNumberFormat="1" applyBorder="1"/>
    <xf numFmtId="9" fontId="0" fillId="0" borderId="12" xfId="0" applyNumberFormat="1" applyBorder="1"/>
    <xf numFmtId="1" fontId="0" fillId="0" borderId="13" xfId="0" applyNumberFormat="1" applyBorder="1"/>
    <xf numFmtId="1" fontId="0" fillId="0" borderId="14" xfId="0" applyNumberFormat="1" applyBorder="1"/>
    <xf numFmtId="1" fontId="0" fillId="0" borderId="15" xfId="0" applyNumberFormat="1" applyBorder="1"/>
    <xf numFmtId="1" fontId="0" fillId="0" borderId="16" xfId="0" applyNumberFormat="1" applyBorder="1"/>
    <xf numFmtId="1" fontId="0" fillId="0" borderId="17" xfId="0" applyNumberFormat="1" applyBorder="1"/>
    <xf numFmtId="164" fontId="0" fillId="0" borderId="13" xfId="0" applyNumberFormat="1" applyBorder="1"/>
    <xf numFmtId="164" fontId="0" fillId="0" borderId="14" xfId="0" applyNumberFormat="1" applyBorder="1"/>
    <xf numFmtId="164" fontId="0" fillId="0" borderId="15" xfId="0" applyNumberFormat="1" applyBorder="1"/>
    <xf numFmtId="164" fontId="0" fillId="0" borderId="16" xfId="0" applyNumberFormat="1" applyBorder="1"/>
    <xf numFmtId="164" fontId="0" fillId="0" borderId="17" xfId="0" applyNumberFormat="1" applyBorder="1"/>
  </cellXfs>
  <cellStyles count="2">
    <cellStyle name="Normal" xfId="0" builtinId="0"/>
    <cellStyle name="Percent" xfId="1" builtinId="5"/>
  </cellStyles>
  <dxfs count="27">
    <dxf>
      <fill>
        <patternFill>
          <bgColor theme="8"/>
        </patternFill>
      </fill>
    </dxf>
    <dxf>
      <fill>
        <patternFill>
          <bgColor theme="7"/>
        </patternFill>
      </fill>
    </dxf>
    <dxf>
      <fill>
        <patternFill>
          <bgColor rgb="FFFF0000"/>
        </patternFill>
      </fill>
    </dxf>
    <dxf>
      <fill>
        <patternFill>
          <bgColor theme="8"/>
        </patternFill>
      </fill>
    </dxf>
    <dxf>
      <fill>
        <patternFill>
          <bgColor theme="7"/>
        </patternFill>
      </fill>
    </dxf>
    <dxf>
      <fill>
        <patternFill>
          <bgColor rgb="FFFF0000"/>
        </patternFill>
      </fill>
    </dxf>
    <dxf>
      <fill>
        <patternFill>
          <bgColor theme="8"/>
        </patternFill>
      </fill>
    </dxf>
    <dxf>
      <fill>
        <patternFill>
          <bgColor theme="7"/>
        </patternFill>
      </fill>
    </dxf>
    <dxf>
      <fill>
        <patternFill>
          <bgColor rgb="FFFF0000"/>
        </patternFill>
      </fill>
    </dxf>
    <dxf>
      <numFmt numFmtId="164" formatCode="_(* #,##0_);_(* \(#,##0\);_(* &quot;-&quot;??_);_(@_)"/>
    </dxf>
    <dxf>
      <numFmt numFmtId="1" formatCode="0"/>
    </dxf>
    <dxf>
      <numFmt numFmtId="13" formatCode="0%"/>
    </dxf>
    <dxf>
      <numFmt numFmtId="13" formatCode="0%"/>
    </dxf>
    <dxf>
      <numFmt numFmtId="33" formatCode="_(* #,##0_);_(* \(#,##0\);_(* &quot;-&quot;_);_(@_)"/>
    </dxf>
    <dxf>
      <numFmt numFmtId="164" formatCode="_(* #,##0_);_(* \(#,##0\);_(* &quot;-&quot;??_);_(@_)"/>
    </dxf>
    <dxf>
      <numFmt numFmtId="164" formatCode="_(* #,##0_);_(* \(#,##0\);_(* &quot;-&quot;??_);_(@_)"/>
    </dxf>
    <dxf>
      <numFmt numFmtId="164" formatCode="_(* #,##0_);_(* \(#,##0\);_(* &quot;-&quot;??_);_(@_)"/>
    </dxf>
    <dxf>
      <numFmt numFmtId="1"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5"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[dashbpord2.xlsx]PT TABLE!PivotTable2</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i="0" baseline="0">
                <a:effectLst/>
              </a:rPr>
              <a:t>Orders by Region &amp; Sub-Category</a:t>
            </a:r>
            <a:endParaRPr lang="ar-EG" sz="1600" b="1" i="0" baseline="0">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TABLE'!$B$4:$B$5</c:f>
              <c:strCache>
                <c:ptCount val="1"/>
                <c:pt idx="0">
                  <c:v>Central</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TABLE'!$B$6:$B$8</c:f>
              <c:numCache>
                <c:formatCode>General</c:formatCode>
                <c:ptCount val="3"/>
                <c:pt idx="0">
                  <c:v>49</c:v>
                </c:pt>
                <c:pt idx="1">
                  <c:v>144</c:v>
                </c:pt>
                <c:pt idx="2">
                  <c:v>52</c:v>
                </c:pt>
              </c:numCache>
            </c:numRef>
          </c:val>
          <c:extLst>
            <c:ext xmlns:c16="http://schemas.microsoft.com/office/drawing/2014/chart" uri="{C3380CC4-5D6E-409C-BE32-E72D297353CC}">
              <c16:uniqueId val="{00000000-C82F-4CE3-AF24-ED5F47598261}"/>
            </c:ext>
          </c:extLst>
        </c:ser>
        <c:ser>
          <c:idx val="1"/>
          <c:order val="1"/>
          <c:tx>
            <c:strRef>
              <c:f>'PT TABLE'!$C$4:$C$5</c:f>
              <c:strCache>
                <c:ptCount val="1"/>
                <c:pt idx="0">
                  <c:v>East</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TABLE'!$C$6:$C$8</c:f>
              <c:numCache>
                <c:formatCode>General</c:formatCode>
                <c:ptCount val="3"/>
                <c:pt idx="0">
                  <c:v>60</c:v>
                </c:pt>
                <c:pt idx="1">
                  <c:v>201</c:v>
                </c:pt>
                <c:pt idx="2">
                  <c:v>52</c:v>
                </c:pt>
              </c:numCache>
            </c:numRef>
          </c:val>
          <c:extLst>
            <c:ext xmlns:c16="http://schemas.microsoft.com/office/drawing/2014/chart" uri="{C3380CC4-5D6E-409C-BE32-E72D297353CC}">
              <c16:uniqueId val="{00000004-1887-457B-A224-EF7A6BDBDC8E}"/>
            </c:ext>
          </c:extLst>
        </c:ser>
        <c:ser>
          <c:idx val="2"/>
          <c:order val="2"/>
          <c:tx>
            <c:strRef>
              <c:f>'PT TABLE'!$D$4:$D$5</c:f>
              <c:strCache>
                <c:ptCount val="1"/>
                <c:pt idx="0">
                  <c:v>South</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TABLE'!$D$6:$D$8</c:f>
              <c:numCache>
                <c:formatCode>General</c:formatCode>
                <c:ptCount val="3"/>
                <c:pt idx="0">
                  <c:v>35</c:v>
                </c:pt>
                <c:pt idx="1">
                  <c:v>80</c:v>
                </c:pt>
                <c:pt idx="2">
                  <c:v>26</c:v>
                </c:pt>
              </c:numCache>
            </c:numRef>
          </c:val>
          <c:extLst>
            <c:ext xmlns:c16="http://schemas.microsoft.com/office/drawing/2014/chart" uri="{C3380CC4-5D6E-409C-BE32-E72D297353CC}">
              <c16:uniqueId val="{00000005-1887-457B-A224-EF7A6BDBDC8E}"/>
            </c:ext>
          </c:extLst>
        </c:ser>
        <c:ser>
          <c:idx val="3"/>
          <c:order val="3"/>
          <c:tx>
            <c:strRef>
              <c:f>'PT TABLE'!$E$4:$E$5</c:f>
              <c:strCache>
                <c:ptCount val="1"/>
                <c:pt idx="0">
                  <c:v>West</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TABLE'!$E$6:$E$8</c:f>
              <c:numCache>
                <c:formatCode>General</c:formatCode>
                <c:ptCount val="3"/>
                <c:pt idx="0">
                  <c:v>63</c:v>
                </c:pt>
                <c:pt idx="1">
                  <c:v>178</c:v>
                </c:pt>
                <c:pt idx="2">
                  <c:v>60</c:v>
                </c:pt>
              </c:numCache>
            </c:numRef>
          </c:val>
          <c:extLst>
            <c:ext xmlns:c16="http://schemas.microsoft.com/office/drawing/2014/chart" uri="{C3380CC4-5D6E-409C-BE32-E72D297353CC}">
              <c16:uniqueId val="{00000006-1887-457B-A224-EF7A6BDBDC8E}"/>
            </c:ext>
          </c:extLst>
        </c:ser>
        <c:dLbls>
          <c:dLblPos val="outEnd"/>
          <c:showLegendKey val="0"/>
          <c:showVal val="1"/>
          <c:showCatName val="0"/>
          <c:showSerName val="0"/>
          <c:showPercent val="0"/>
          <c:showBubbleSize val="0"/>
        </c:dLbls>
        <c:gapWidth val="100"/>
        <c:overlap val="-24"/>
        <c:axId val="1656563616"/>
        <c:axId val="1660306496"/>
      </c:barChart>
      <c:catAx>
        <c:axId val="16565636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0306496"/>
        <c:crosses val="autoZero"/>
        <c:auto val="1"/>
        <c:lblAlgn val="ctr"/>
        <c:lblOffset val="100"/>
        <c:noMultiLvlLbl val="0"/>
      </c:catAx>
      <c:valAx>
        <c:axId val="1660306496"/>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65656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[dashbpord2.xlsx]PT TABLE!PivotTable4</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i="0" u="none" strike="noStrike" baseline="0">
                <a:solidFill>
                  <a:schemeClr val="tx2"/>
                </a:solidFill>
              </a:rPr>
              <a:t>Sales &amp; Orders by Sub-Category</a:t>
            </a:r>
            <a:endParaRPr lang="en-US" sz="180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TABLE'!$K$4</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TABLE'!$J$5:$J$21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TABLE'!$K$5:$K$21</c:f>
              <c:numCache>
                <c:formatCode>_(* #,##0_);_(* \(#,##0\);_(* "-"??_);_(@_)</c:formatCode>
                <c:ptCount val="17"/>
                <c:pt idx="0">
                  <c:v>20481.394000000004</c:v>
                </c:pt>
                <c:pt idx="1">
                  <c:v>8369.8779999999988</c:v>
                </c:pt>
                <c:pt idx="2">
                  <c:v>3858.0840000000003</c:v>
                </c:pt>
                <c:pt idx="3">
                  <c:v>21412.52900000001</c:v>
                </c:pt>
                <c:pt idx="4">
                  <c:v>13834.990400000002</c:v>
                </c:pt>
                <c:pt idx="5">
                  <c:v>30809.087999999989</c:v>
                </c:pt>
                <c:pt idx="6">
                  <c:v>9359.8320000000003</c:v>
                </c:pt>
                <c:pt idx="7">
                  <c:v>2109.3320000000003</c:v>
                </c:pt>
                <c:pt idx="8">
                  <c:v>381.66</c:v>
                </c:pt>
                <c:pt idx="9">
                  <c:v>10256.893999999997</c:v>
                </c:pt>
                <c:pt idx="10">
                  <c:v>1534.34</c:v>
                </c:pt>
                <c:pt idx="11">
                  <c:v>32622.115999999995</c:v>
                </c:pt>
                <c:pt idx="12">
                  <c:v>6386.2399999999971</c:v>
                </c:pt>
                <c:pt idx="13">
                  <c:v>31036.5</c:v>
                </c:pt>
                <c:pt idx="14">
                  <c:v>21809.635999999999</c:v>
                </c:pt>
                <c:pt idx="15">
                  <c:v>2391.6480000000006</c:v>
                </c:pt>
                <c:pt idx="16">
                  <c:v>24476.606499999994</c:v>
                </c:pt>
              </c:numCache>
            </c:numRef>
          </c:val>
          <c:extLst>
            <c:ext xmlns:c16="http://schemas.microsoft.com/office/drawing/2014/chart" uri="{C3380CC4-5D6E-409C-BE32-E72D297353CC}">
              <c16:uniqueId val="{00000000-4B43-44F0-BF43-6CCC5676C8C4}"/>
            </c:ext>
          </c:extLst>
        </c:ser>
        <c:ser>
          <c:idx val="1"/>
          <c:order val="1"/>
          <c:tx>
            <c:strRef>
              <c:f>'PT TABLE'!$L$4</c:f>
              <c:strCache>
                <c:ptCount val="1"/>
                <c:pt idx="0">
                  <c:v>Count of Order 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TABLE'!$J$5:$J$21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TABLE'!$L$5:$L$21</c:f>
              <c:numCache>
                <c:formatCode>General</c:formatCode>
                <c:ptCount val="17"/>
                <c:pt idx="0">
                  <c:v>83</c:v>
                </c:pt>
                <c:pt idx="1">
                  <c:v>43</c:v>
                </c:pt>
                <c:pt idx="2">
                  <c:v>81</c:v>
                </c:pt>
                <c:pt idx="3">
                  <c:v>145</c:v>
                </c:pt>
                <c:pt idx="4">
                  <c:v>21</c:v>
                </c:pt>
                <c:pt idx="5">
                  <c:v>58</c:v>
                </c:pt>
                <c:pt idx="6">
                  <c:v>6</c:v>
                </c:pt>
                <c:pt idx="7">
                  <c:v>30</c:v>
                </c:pt>
                <c:pt idx="8">
                  <c:v>21</c:v>
                </c:pt>
                <c:pt idx="9">
                  <c:v>95</c:v>
                </c:pt>
                <c:pt idx="10">
                  <c:v>41</c:v>
                </c:pt>
                <c:pt idx="11">
                  <c:v>13</c:v>
                </c:pt>
                <c:pt idx="12">
                  <c:v>127</c:v>
                </c:pt>
                <c:pt idx="13">
                  <c:v>88</c:v>
                </c:pt>
                <c:pt idx="14">
                  <c:v>95</c:v>
                </c:pt>
                <c:pt idx="15">
                  <c:v>20</c:v>
                </c:pt>
                <c:pt idx="16">
                  <c:v>33</c:v>
                </c:pt>
              </c:numCache>
            </c:numRef>
          </c:val>
          <c:extLst>
            <c:ext xmlns:c16="http://schemas.microsoft.com/office/drawing/2014/chart" uri="{C3380CC4-5D6E-409C-BE32-E72D297353CC}">
              <c16:uniqueId val="{00000001-4B43-44F0-BF43-6CCC5676C8C4}"/>
            </c:ext>
          </c:extLst>
        </c:ser>
        <c:dLbls>
          <c:showLegendKey val="0"/>
          <c:showVal val="0"/>
          <c:showCatName val="0"/>
          <c:showSerName val="0"/>
          <c:showPercent val="0"/>
          <c:showBubbleSize val="0"/>
        </c:dLbls>
        <c:gapWidth val="247"/>
        <c:overlap val="-27"/>
        <c:axId val="1388085791"/>
        <c:axId val="1388077151"/>
      </c:barChart>
      <c:catAx>
        <c:axId val="1388085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77151"/>
        <c:crosses val="autoZero"/>
        <c:auto val="1"/>
        <c:lblAlgn val="ctr"/>
        <c:lblOffset val="100"/>
        <c:noMultiLvlLbl val="0"/>
      </c:catAx>
      <c:valAx>
        <c:axId val="138807715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388085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[dashbpord2.xlsx]PT TABLE!PivotTable9</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1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1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2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2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2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2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3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3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3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3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'PT TABLE'!$AH$4</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1-64D7-4DEF-B62D-371DE2550D8C}"/>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3-64D7-4DEF-B62D-371DE2550D8C}"/>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64D7-4DEF-B62D-371DE2550D8C}"/>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7-64D7-4DEF-B62D-371DE2550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'PT TABLE'!$AG$5:$AG$8</c:f>
              <c:strCache>
                <c:ptCount val="4"/>
                <c:pt idx="0">
                  <c:v>Central</c:v>
                </c:pt>
                <c:pt idx="1">
                  <c:v>East</c:v>
                </c:pt>
                <c:pt idx="2">
                  <c:v>South</c:v>
                </c:pt>
                <c:pt idx="3">
                  <c:v>West</c:v>
                </c:pt>
              </c:strCache>
            </c:strRef>
          </c:cat>
          <c:val>
            <c:numRef>
              <c:f>'PT TABLE'!$AH$5:$AH$8</c:f>
              <c:numCache>
                <c:formatCode>_(* #,##0_);_(* \(#,##0\);_(* "-"??_);_(@_)</c:formatCode>
                <c:ptCount val="4"/>
                <c:pt idx="0">
                  <c:v>67009.848399999988</c:v>
                </c:pt>
                <c:pt idx="1">
                  <c:v>59491.641000000025</c:v>
                </c:pt>
                <c:pt idx="2">
                  <c:v>43563.958499999979</c:v>
                </c:pt>
                <c:pt idx="3">
                  <c:v>71065.319999999978</c:v>
                </c:pt>
              </c:numCache>
            </c:numRef>
          </c:val>
          <c:extLst>
            <c:ext xmlns:c16="http://schemas.microsoft.com/office/drawing/2014/chart" uri="{C3380CC4-5D6E-409C-BE32-E72D297353CC}">
              <c16:uniqueId val="{00000008-64D7-4DEF-B62D-371DE2550D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[dashbpord2.xlsx]PT TABLE!PivotTable6</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2"/>
                </a:solidFill>
              </a:rPr>
              <a:t>Total Profit by Shipping</a:t>
            </a:r>
            <a:r>
              <a:rPr lang="ar-EG" sz="1600" b="1" i="0" u="none" strike="noStrike" baseline="0">
                <a:solidFill>
                  <a:schemeClr val="tx2"/>
                </a:solidFill>
              </a:rPr>
              <a:t> </a:t>
            </a:r>
            <a:endParaRPr lang="en-US" sz="160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177205411474838E-3"/>
              <c:y val="9.06380305762547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2A1D35-8A57-403A-8E20-CBC65BB710B0}" type="VALUE">
                  <a:rPr lang="en-US" sz="900" b="0">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235441082294968E-2"/>
              <c:y val="8.9957620447363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85CE51-0F0A-4D95-975B-E9B818E351B9}" type="VALUE">
                  <a:rPr lang="en-US" sz="1050">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47A39F-A4FC-4E24-9370-D945C8687592}"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4A066E-276E-4D16-B54B-38D83BDC7281}"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4.8245614035087717E-2"/>
          <c:y val="0.16783117490291391"/>
          <c:w val="0.72628643459041309"/>
          <c:h val="0.78818690270613179"/>
        </c:manualLayout>
      </c:layout>
      <c:barChart>
        <c:barDir val="col"/>
        <c:grouping val="clustered"/>
        <c:varyColors val="0"/>
        <c:ser>
          <c:idx val="0"/>
          <c:order val="0"/>
          <c:tx>
            <c:strRef>
              <c:f>'PT TABLE'!$Q$4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33-46D9-8609-1414E4AB6B38}"/>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433-46D9-8609-1414E4AB6B38}"/>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33-46D9-8609-1414E4AB6B38}"/>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5433-46D9-8609-1414E4AB6B38}"/>
              </c:ext>
            </c:extLst>
          </c:dPt>
          <c:dLbls>
            <c:dLbl>
              <c:idx val="0"/>
              <c:tx>
                <c:rich>
                  <a:bodyPr/>
                  <a:lstStyle/>
                  <a:p>
                    <a:fld id="{294A066E-276E-4D16-B54B-38D83BDC7281}" type="VALUE">
                      <a:rPr lang="en-US" sz="1000"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433-46D9-8609-1414E4AB6B38}"/>
                </c:ext>
              </c:extLst>
            </c:dLbl>
            <c:dLbl>
              <c:idx val="1"/>
              <c:tx>
                <c:rich>
                  <a:bodyPr/>
                  <a:lstStyle/>
                  <a:p>
                    <a:fld id="{3947A39F-A4FC-4E24-9370-D945C8687592}" type="VALUE">
                      <a:rPr lang="en-US" sz="1000"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433-46D9-8609-1414E4AB6B38}"/>
                </c:ext>
              </c:extLst>
            </c:dLbl>
            <c:dLbl>
              <c:idx val="2"/>
              <c:layout>
                <c:manualLayout>
                  <c:x val="-1.8235441082294968E-2"/>
                  <c:y val="8.9957620447363162E-2"/>
                </c:manualLayout>
              </c:layout>
              <c:tx>
                <c:rich>
                  <a:bodyPr/>
                  <a:lstStyle/>
                  <a:p>
                    <a:fld id="{A785CE51-0F0A-4D95-975B-E9B818E351B9}" type="VALUE">
                      <a:rPr lang="en-US" sz="1050">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33-46D9-8609-1414E4AB6B38}"/>
                </c:ext>
              </c:extLst>
            </c:dLbl>
            <c:dLbl>
              <c:idx val="3"/>
              <c:layout>
                <c:manualLayout>
                  <c:x val="-9.1177205411474838E-3"/>
                  <c:y val="9.0638030576254788E-2"/>
                </c:manualLayout>
              </c:layout>
              <c:tx>
                <c:rich>
                  <a:bodyPr/>
                  <a:lstStyle/>
                  <a:p>
                    <a:fld id="{DF2A1D35-8A57-403A-8E20-CBC65BB710B0}" type="VALUE">
                      <a:rPr lang="en-US" sz="900" b="0">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433-46D9-8609-1414E4AB6B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TABLE'!$P$5:$P$8</c:f>
              <c:strCache>
                <c:ptCount val="4"/>
                <c:pt idx="0">
                  <c:v>First Class</c:v>
                </c:pt>
                <c:pt idx="1">
                  <c:v>Same Day</c:v>
                </c:pt>
                <c:pt idx="2">
                  <c:v>Second Class</c:v>
                </c:pt>
                <c:pt idx="3">
                  <c:v>Standard Class</c:v>
                </c:pt>
              </c:strCache>
            </c:strRef>
          </c:cat>
          <c:val>
            <c:numRef>
              <c:f>'PT TABLE'!$Q$5:$Q$8</c:f>
              <c:numCache>
                <c:formatCode>_(* #,##0_);_(* \(#,##0\);_(* "-"??_);_(@_)</c:formatCode>
                <c:ptCount val="4"/>
                <c:pt idx="0">
                  <c:v>4804.9780999999984</c:v>
                </c:pt>
                <c:pt idx="1">
                  <c:v>-2832.7893999999987</c:v>
                </c:pt>
                <c:pt idx="2">
                  <c:v>4278.337300000002</c:v>
                </c:pt>
                <c:pt idx="3">
                  <c:v>12495.653199999997</c:v>
                </c:pt>
              </c:numCache>
            </c:numRef>
          </c:val>
          <c:extLst>
            <c:ext xmlns:c16="http://schemas.microsoft.com/office/drawing/2014/chart" uri="{C3380CC4-5D6E-409C-BE32-E72D297353CC}">
              <c16:uniqueId val="{00000000-1971-4092-87B6-424AB1D111B3}"/>
            </c:ext>
          </c:extLst>
        </c:ser>
        <c:dLbls>
          <c:dLblPos val="inEnd"/>
          <c:showLegendKey val="0"/>
          <c:showVal val="1"/>
          <c:showCatName val="0"/>
          <c:showSerName val="0"/>
          <c:showPercent val="0"/>
          <c:showBubbleSize val="0"/>
        </c:dLbls>
        <c:gapWidth val="100"/>
        <c:overlap val="-24"/>
        <c:axId val="1641291152"/>
        <c:axId val="1641290192"/>
      </c:barChart>
      <c:catAx>
        <c:axId val="164129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90192"/>
        <c:crosses val="autoZero"/>
        <c:auto val="1"/>
        <c:lblAlgn val="ctr"/>
        <c:lblOffset val="100"/>
        <c:noMultiLvlLbl val="0"/>
      </c:catAx>
      <c:valAx>
        <c:axId val="1641290192"/>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64129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[dashbpord2.xlsx]PT TABLE!PivotTable8</c:name>
    <c:fmtId val="18"/>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w="38100" cap="flat" cmpd="dbl" algn="ctr">
            <a:solidFill>
              <a:schemeClr val="accent1"/>
            </a:solidFill>
            <a:miter lim="800000"/>
          </a:ln>
          <a:effectLst/>
        </c:spPr>
        <c:marker>
          <c:symbol val="none"/>
        </c:marker>
      </c:pivotFmt>
      <c:pivotFmt>
        <c:idx val="9"/>
        <c:spPr>
          <a:solidFill>
            <a:schemeClr val="accent1"/>
          </a:solidFill>
          <a:ln w="38100" cap="flat" cmpd="dbl" algn="ctr">
            <a:solidFill>
              <a:schemeClr val="accent1"/>
            </a:solidFill>
            <a:miter lim="800000"/>
          </a:ln>
          <a:effectLst/>
        </c:spPr>
        <c:marker>
          <c:symbol val="none"/>
        </c:marker>
      </c:pivotFmt>
      <c:pivotFmt>
        <c:idx val="10"/>
        <c:spPr>
          <a:solidFill>
            <a:schemeClr val="accent1"/>
          </a:solidFill>
          <a:ln w="38100" cap="flat" cmpd="dbl" algn="ctr">
            <a:solidFill>
              <a:schemeClr val="accent1"/>
            </a:solidFill>
            <a:miter lim="800000"/>
          </a:ln>
          <a:effectLst/>
        </c:spPr>
        <c:marker>
          <c:symbol val="none"/>
        </c:marker>
      </c:pivotFmt>
      <c:pivotFmt>
        <c:idx val="11"/>
        <c:spPr>
          <a:solidFill>
            <a:schemeClr val="accent1"/>
          </a:solidFill>
          <a:ln w="38100" cap="flat" cmpd="dbl" algn="ctr">
            <a:solidFill>
              <a:schemeClr val="accent1"/>
            </a:solidFill>
            <a:miter lim="800000"/>
          </a:ln>
          <a:effectLst/>
        </c:spPr>
        <c:marker>
          <c:symbol val="none"/>
        </c:marker>
      </c:pivotFmt>
      <c:pivotFmt>
        <c:idx val="12"/>
        <c:spPr>
          <a:solidFill>
            <a:schemeClr val="accent1"/>
          </a:solidFill>
          <a:ln w="38100" cap="flat" cmpd="dbl" algn="ctr">
            <a:solidFill>
              <a:schemeClr val="accent1"/>
            </a:solidFill>
            <a:miter lim="800000"/>
          </a:ln>
          <a:effectLst/>
        </c:spPr>
        <c:marker>
          <c:symbol val="none"/>
        </c:marker>
      </c:pivotFmt>
      <c:pivotFmt>
        <c:idx val="13"/>
        <c:spPr>
          <a:solidFill>
            <a:schemeClr val="accent1"/>
          </a:solidFill>
          <a:ln w="38100" cap="flat" cmpd="dbl" algn="ctr">
            <a:solidFill>
              <a:schemeClr val="accent1"/>
            </a:solidFill>
            <a:miter lim="800000"/>
          </a:ln>
          <a:effectLst/>
        </c:spPr>
        <c:marker>
          <c:symbol val="none"/>
        </c:marker>
      </c:pivotFmt>
      <c:pivotFmt>
        <c:idx val="14"/>
        <c:spPr>
          <a:solidFill>
            <a:schemeClr val="accent1"/>
          </a:solidFill>
          <a:ln w="38100" cap="flat" cmpd="dbl" algn="ctr">
            <a:solidFill>
              <a:schemeClr val="accent1"/>
            </a:solidFill>
            <a:miter lim="800000"/>
          </a:ln>
          <a:effectLst/>
        </c:spPr>
        <c:marker>
          <c:symbol val="none"/>
        </c:marker>
      </c:pivotFmt>
      <c:pivotFmt>
        <c:idx val="15"/>
        <c:spPr>
          <a:solidFill>
            <a:schemeClr val="accent1"/>
          </a:solidFill>
          <a:ln w="38100" cap="flat" cmpd="dbl" algn="ctr">
            <a:solidFill>
              <a:schemeClr val="accent1"/>
            </a:solidFill>
            <a:miter lim="800000"/>
          </a:ln>
          <a:effectLst/>
        </c:spPr>
        <c:marker>
          <c:symbol val="none"/>
        </c:marker>
      </c:pivotFmt>
      <c:pivotFmt>
        <c:idx val="16"/>
        <c:spPr>
          <a:solidFill>
            <a:schemeClr val="accent1"/>
          </a:solidFill>
          <a:ln w="38100" cap="flat" cmpd="dbl" algn="ctr">
            <a:solidFill>
              <a:schemeClr val="accent1"/>
            </a:solidFill>
            <a:miter lim="800000"/>
          </a:ln>
          <a:effectLst/>
        </c:spPr>
        <c:marker>
          <c:symbol val="none"/>
        </c:marker>
      </c:pivotFmt>
      <c:pivotFmt>
        <c:idx val="17"/>
        <c:spPr>
          <a:solidFill>
            <a:schemeClr val="accent1"/>
          </a:solidFill>
          <a:ln w="38100" cap="flat" cmpd="dbl" algn="ctr">
            <a:solidFill>
              <a:schemeClr val="accent1"/>
            </a:solidFill>
            <a:miter lim="800000"/>
          </a:ln>
          <a:effectLst/>
        </c:spPr>
        <c:marker>
          <c:symbol val="none"/>
        </c:marker>
      </c:pivotFmt>
      <c:pivotFmt>
        <c:idx val="18"/>
        <c:spPr>
          <a:solidFill>
            <a:schemeClr val="accent1"/>
          </a:solidFill>
          <a:ln w="38100" cap="flat" cmpd="dbl" algn="ctr">
            <a:solidFill>
              <a:schemeClr val="accent1"/>
            </a:solidFill>
            <a:miter lim="800000"/>
          </a:ln>
          <a:effectLst/>
        </c:spPr>
        <c:marker>
          <c:symbol val="none"/>
        </c:marker>
      </c:pivotFmt>
      <c:pivotFmt>
        <c:idx val="19"/>
        <c:spPr>
          <a:solidFill>
            <a:schemeClr val="accent1"/>
          </a:solidFill>
          <a:ln w="38100" cap="flat" cmpd="dbl" algn="ctr">
            <a:solidFill>
              <a:schemeClr val="accent1"/>
            </a:solidFill>
            <a:miter lim="800000"/>
          </a:ln>
          <a:effectLst/>
        </c:spPr>
        <c:marker>
          <c:symbol val="none"/>
        </c:marker>
      </c:pivotFmt>
      <c:pivotFmt>
        <c:idx val="20"/>
        <c:spPr>
          <a:solidFill>
            <a:schemeClr val="accent1"/>
          </a:solidFill>
          <a:ln w="38100" cap="flat" cmpd="dbl" algn="ctr">
            <a:solidFill>
              <a:schemeClr val="accent1"/>
            </a:solidFill>
            <a:miter lim="800000"/>
          </a:ln>
          <a:effectLst/>
        </c:spPr>
        <c:marker>
          <c:symbol val="none"/>
        </c:marker>
      </c:pivotFmt>
      <c:pivotFmt>
        <c:idx val="21"/>
        <c:spPr>
          <a:solidFill>
            <a:schemeClr val="accent1"/>
          </a:solidFill>
          <a:ln w="38100" cap="flat" cmpd="dbl" algn="ctr">
            <a:solidFill>
              <a:schemeClr val="accent1"/>
            </a:solidFill>
            <a:miter lim="800000"/>
          </a:ln>
          <a:effectLst/>
        </c:spPr>
        <c:marker>
          <c:symbol val="none"/>
        </c:marker>
      </c:pivotFmt>
      <c:pivotFmt>
        <c:idx val="22"/>
        <c:spPr>
          <a:solidFill>
            <a:schemeClr val="accent1"/>
          </a:solidFill>
          <a:ln w="38100" cap="flat" cmpd="dbl" algn="ctr">
            <a:solidFill>
              <a:schemeClr val="accent1"/>
            </a:solidFill>
            <a:miter lim="800000"/>
          </a:ln>
          <a:effectLst/>
        </c:spPr>
        <c:marker>
          <c:symbol val="none"/>
        </c:marker>
      </c:pivotFmt>
      <c:pivotFmt>
        <c:idx val="23"/>
        <c:spPr>
          <a:solidFill>
            <a:schemeClr val="accent1"/>
          </a:solidFill>
          <a:ln w="38100" cap="flat" cmpd="dbl" algn="ctr">
            <a:solidFill>
              <a:schemeClr val="accent1"/>
            </a:solidFill>
            <a:miter lim="800000"/>
          </a:ln>
          <a:effectLst/>
        </c:spPr>
        <c:marker>
          <c:symbol val="none"/>
        </c:marker>
      </c:pivotFmt>
      <c:pivotFmt>
        <c:idx val="24"/>
        <c:spPr>
          <a:solidFill>
            <a:schemeClr val="accent1"/>
          </a:solidFill>
          <a:ln w="38100" cap="flat" cmpd="dbl" algn="ctr">
            <a:solidFill>
              <a:schemeClr val="accent1"/>
            </a:solidFill>
            <a:miter lim="800000"/>
          </a:ln>
          <a:effectLst/>
        </c:spPr>
        <c:marker>
          <c:symbol val="none"/>
        </c:marker>
      </c:pivotFmt>
      <c:pivotFmt>
        <c:idx val="25"/>
        <c:spPr>
          <a:solidFill>
            <a:schemeClr val="accent1"/>
          </a:solidFill>
          <a:ln w="38100" cap="flat" cmpd="dbl" algn="ctr">
            <a:solidFill>
              <a:schemeClr val="accent1"/>
            </a:solidFill>
            <a:miter lim="800000"/>
          </a:ln>
          <a:effectLst/>
        </c:spPr>
        <c:marker>
          <c:symbol val="none"/>
        </c:marker>
      </c:pivotFmt>
      <c:pivotFmt>
        <c:idx val="26"/>
        <c:spPr>
          <a:solidFill>
            <a:schemeClr val="accent1"/>
          </a:solidFill>
          <a:ln w="38100" cap="flat" cmpd="dbl" algn="ctr">
            <a:solidFill>
              <a:schemeClr val="accent1"/>
            </a:solidFill>
            <a:miter lim="800000"/>
          </a:ln>
          <a:effectLst/>
        </c:spPr>
        <c:marker>
          <c:symbol val="none"/>
        </c:marker>
      </c:pivotFmt>
      <c:pivotFmt>
        <c:idx val="27"/>
        <c:spPr>
          <a:solidFill>
            <a:schemeClr val="accent1"/>
          </a:solidFill>
          <a:ln w="38100" cap="flat" cmpd="dbl" algn="ctr">
            <a:solidFill>
              <a:schemeClr val="accent1"/>
            </a:solidFill>
            <a:miter lim="800000"/>
          </a:ln>
          <a:effectLst/>
        </c:spPr>
        <c:marker>
          <c:symbol val="none"/>
        </c:marker>
      </c:pivotFmt>
      <c:pivotFmt>
        <c:idx val="28"/>
        <c:spPr>
          <a:solidFill>
            <a:schemeClr val="accent1"/>
          </a:solidFill>
          <a:ln w="38100" cap="flat" cmpd="dbl" algn="ctr">
            <a:solidFill>
              <a:schemeClr val="accent1"/>
            </a:solidFill>
            <a:miter lim="800000"/>
          </a:ln>
          <a:effectLst/>
        </c:spPr>
        <c:marker>
          <c:symbol val="none"/>
        </c:marker>
      </c:pivotFmt>
      <c:pivotFmt>
        <c:idx val="29"/>
        <c:spPr>
          <a:solidFill>
            <a:schemeClr val="accent1"/>
          </a:solidFill>
          <a:ln w="38100" cap="flat" cmpd="dbl" algn="ctr">
            <a:solidFill>
              <a:schemeClr val="accent1"/>
            </a:solidFill>
            <a:miter lim="800000"/>
          </a:ln>
          <a:effectLst/>
        </c:spPr>
        <c:marker>
          <c:symbol val="none"/>
        </c:marker>
      </c:pivotFmt>
      <c:pivotFmt>
        <c:idx val="30"/>
        <c:spPr>
          <a:solidFill>
            <a:schemeClr val="accent1"/>
          </a:solidFill>
          <a:ln w="38100" cap="flat" cmpd="dbl" algn="ctr">
            <a:solidFill>
              <a:schemeClr val="accent1"/>
            </a:solidFill>
            <a:miter lim="800000"/>
          </a:ln>
          <a:effectLst/>
        </c:spPr>
        <c:marker>
          <c:symbol val="none"/>
        </c:marker>
      </c:pivotFmt>
      <c:pivotFmt>
        <c:idx val="31"/>
        <c:spPr>
          <a:solidFill>
            <a:schemeClr val="accent1"/>
          </a:solidFill>
          <a:ln w="38100" cap="flat" cmpd="dbl" algn="ctr">
            <a:solidFill>
              <a:schemeClr val="accent1"/>
            </a:solidFill>
            <a:miter lim="800000"/>
          </a:ln>
          <a:effectLst/>
        </c:spPr>
        <c:marker>
          <c:symbol val="none"/>
        </c:marker>
      </c:pivotFmt>
      <c:pivotFmt>
        <c:idx val="32"/>
        <c:spPr>
          <a:solidFill>
            <a:schemeClr val="accent1"/>
          </a:solidFill>
          <a:ln w="38100" cap="flat" cmpd="dbl" algn="ctr">
            <a:solidFill>
              <a:schemeClr val="accent1"/>
            </a:solidFill>
            <a:miter lim="800000"/>
          </a:ln>
          <a:effectLst/>
        </c:spPr>
        <c:marker>
          <c:symbol val="none"/>
        </c:marker>
      </c:pivotFmt>
      <c:pivotFmt>
        <c:idx val="33"/>
        <c:spPr>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8100" cap="flat" cmpd="dbl" algn="ctr">
            <a:solidFill>
              <a:schemeClr val="accent1"/>
            </a:solidFill>
            <a:miter lim="800000"/>
          </a:ln>
          <a:effectLst/>
        </c:spPr>
        <c:marker>
          <c:symbol val="none"/>
        </c:marker>
      </c:pivotFmt>
    </c:pivotFmts>
    <c:plotArea>
      <c:layout/>
      <c:lineChart>
        <c:grouping val="percentStacked"/>
        <c:varyColors val="0"/>
        <c:ser>
          <c:idx val="0"/>
          <c:order val="0"/>
          <c:tx>
            <c:strRef>
              <c:f>'PT TABLE'!$AA$4:$AA$5</c:f>
              <c:strCache>
                <c:ptCount val="1"/>
                <c:pt idx="0">
                  <c:v>Central</c:v>
                </c:pt>
              </c:strCache>
            </c:strRef>
          </c:tx>
          <c:spPr>
            <a:ln w="38100" cap="flat" cmpd="dbl" algn="ctr">
              <a:solidFill>
                <a:schemeClr val="accent1"/>
              </a:solidFill>
              <a:miter lim="800000"/>
            </a:ln>
            <a:effectLst/>
          </c:spPr>
          <c:marker>
            <c:symbol val="none"/>
          </c:marker>
          <c:dPt>
            <c:idx val="11"/>
            <c:marker>
              <c:symbol val="none"/>
            </c:marker>
            <c:bubble3D val="0"/>
            <c:spPr>
              <a:ln w="38100" cap="flat" cmpd="dbl" algn="ctr">
                <a:solidFill>
                  <a:schemeClr val="accent1"/>
                </a:solidFill>
                <a:miter lim="800000"/>
              </a:ln>
              <a:effectLst/>
            </c:spPr>
            <c:extLst>
              <c:ext xmlns:c16="http://schemas.microsoft.com/office/drawing/2014/chart" uri="{C3380CC4-5D6E-409C-BE32-E72D297353CC}">
                <c16:uniqueId val="{00000000-A888-4F50-A7BE-C2FDAD3A0802}"/>
              </c:ext>
            </c:extLst>
          </c:dPt>
          <c:cat>
            <c:multiLvlStrRef>
              <c:f>'PT TABLE'!$Y$6:$Z$21</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'PT TABLE'!$AA$6:$AA$21</c:f>
              <c:numCache>
                <c:formatCode>General</c:formatCode>
                <c:ptCount val="16"/>
                <c:pt idx="0">
                  <c:v>797.50400000000002</c:v>
                </c:pt>
                <c:pt idx="1">
                  <c:v>5031.8820000000005</c:v>
                </c:pt>
                <c:pt idx="2">
                  <c:v>16964.928</c:v>
                </c:pt>
                <c:pt idx="3">
                  <c:v>4830.1000000000004</c:v>
                </c:pt>
                <c:pt idx="4">
                  <c:v>768.19799999999998</c:v>
                </c:pt>
                <c:pt idx="5">
                  <c:v>509.22499999999991</c:v>
                </c:pt>
                <c:pt idx="6">
                  <c:v>4408.1310000000003</c:v>
                </c:pt>
                <c:pt idx="7">
                  <c:v>4442.3572000000004</c:v>
                </c:pt>
                <c:pt idx="8">
                  <c:v>258.84800000000001</c:v>
                </c:pt>
                <c:pt idx="9">
                  <c:v>2871.2960000000003</c:v>
                </c:pt>
                <c:pt idx="10">
                  <c:v>5227.0475999999999</c:v>
                </c:pt>
                <c:pt idx="11">
                  <c:v>7196.6100000000006</c:v>
                </c:pt>
                <c:pt idx="12">
                  <c:v>4115.4467999999997</c:v>
                </c:pt>
                <c:pt idx="13">
                  <c:v>1554.3369999999998</c:v>
                </c:pt>
                <c:pt idx="14">
                  <c:v>4700.5520000000006</c:v>
                </c:pt>
                <c:pt idx="15">
                  <c:v>3333.3858000000014</c:v>
                </c:pt>
              </c:numCache>
            </c:numRef>
          </c:val>
          <c:smooth val="1"/>
          <c:extLst>
            <c:ext xmlns:c16="http://schemas.microsoft.com/office/drawing/2014/chart" uri="{C3380CC4-5D6E-409C-BE32-E72D297353CC}">
              <c16:uniqueId val="{00000000-0D9E-4C7B-90A5-D1A284DD34D9}"/>
            </c:ext>
          </c:extLst>
        </c:ser>
        <c:ser>
          <c:idx val="1"/>
          <c:order val="1"/>
          <c:tx>
            <c:strRef>
              <c:f>'PT TABLE'!$AB$4:$AB$5</c:f>
              <c:strCache>
                <c:ptCount val="1"/>
                <c:pt idx="0">
                  <c:v>East</c:v>
                </c:pt>
              </c:strCache>
            </c:strRef>
          </c:tx>
          <c:spPr>
            <a:ln w="38100" cap="flat" cmpd="dbl" algn="ctr">
              <a:solidFill>
                <a:schemeClr val="accent2"/>
              </a:solidFill>
              <a:miter lim="800000"/>
            </a:ln>
            <a:effectLst/>
          </c:spPr>
          <c:marker>
            <c:symbol val="none"/>
          </c:marker>
          <c:cat>
            <c:multiLvlStrRef>
              <c:f>'PT TABLE'!$Y$6:$Z$21</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'PT TABLE'!$AB$6:$AB$21</c:f>
              <c:numCache>
                <c:formatCode>General</c:formatCode>
                <c:ptCount val="16"/>
                <c:pt idx="0">
                  <c:v>438.72</c:v>
                </c:pt>
                <c:pt idx="1">
                  <c:v>2835.3849999999993</c:v>
                </c:pt>
                <c:pt idx="2">
                  <c:v>1420.01</c:v>
                </c:pt>
                <c:pt idx="3">
                  <c:v>6331.6039999999994</c:v>
                </c:pt>
                <c:pt idx="4">
                  <c:v>1924.6780000000001</c:v>
                </c:pt>
                <c:pt idx="5">
                  <c:v>1133.222</c:v>
                </c:pt>
                <c:pt idx="6">
                  <c:v>4084.5300000000007</c:v>
                </c:pt>
                <c:pt idx="7">
                  <c:v>4587.0780000000004</c:v>
                </c:pt>
                <c:pt idx="8">
                  <c:v>1479.46</c:v>
                </c:pt>
                <c:pt idx="9">
                  <c:v>4307.17</c:v>
                </c:pt>
                <c:pt idx="10">
                  <c:v>10095.397999999999</c:v>
                </c:pt>
                <c:pt idx="11">
                  <c:v>6657.64</c:v>
                </c:pt>
                <c:pt idx="12">
                  <c:v>416.47200000000004</c:v>
                </c:pt>
                <c:pt idx="13">
                  <c:v>3020.4079999999999</c:v>
                </c:pt>
                <c:pt idx="14">
                  <c:v>2655.1659999999997</c:v>
                </c:pt>
                <c:pt idx="15">
                  <c:v>8104.7000000000007</c:v>
                </c:pt>
              </c:numCache>
            </c:numRef>
          </c:val>
          <c:smooth val="0"/>
          <c:extLst>
            <c:ext xmlns:c16="http://schemas.microsoft.com/office/drawing/2014/chart" uri="{C3380CC4-5D6E-409C-BE32-E72D297353CC}">
              <c16:uniqueId val="{00000005-27E4-4029-9AAD-F49722B4E272}"/>
            </c:ext>
          </c:extLst>
        </c:ser>
        <c:ser>
          <c:idx val="2"/>
          <c:order val="2"/>
          <c:tx>
            <c:strRef>
              <c:f>'PT TABLE'!$AC$4:$AC$5</c:f>
              <c:strCache>
                <c:ptCount val="1"/>
                <c:pt idx="0">
                  <c:v>South</c:v>
                </c:pt>
              </c:strCache>
            </c:strRef>
          </c:tx>
          <c:spPr>
            <a:ln w="38100" cap="flat" cmpd="dbl" algn="ctr">
              <a:solidFill>
                <a:schemeClr val="accent3"/>
              </a:solidFill>
              <a:miter lim="800000"/>
            </a:ln>
            <a:effectLst/>
          </c:spPr>
          <c:marker>
            <c:symbol val="none"/>
          </c:marker>
          <c:cat>
            <c:multiLvlStrRef>
              <c:f>'PT TABLE'!$Y$6:$Z$21</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'PT TABLE'!$AC$6:$AC$21</c:f>
              <c:numCache>
                <c:formatCode>General</c:formatCode>
                <c:ptCount val="16"/>
                <c:pt idx="0">
                  <c:v>1732.3280000000002</c:v>
                </c:pt>
                <c:pt idx="1">
                  <c:v>4109.5220000000008</c:v>
                </c:pt>
                <c:pt idx="2">
                  <c:v>949.77400000000011</c:v>
                </c:pt>
                <c:pt idx="3">
                  <c:v>969.64999999999986</c:v>
                </c:pt>
                <c:pt idx="4">
                  <c:v>8130.9539999999997</c:v>
                </c:pt>
                <c:pt idx="5">
                  <c:v>1881.6040000000003</c:v>
                </c:pt>
                <c:pt idx="6">
                  <c:v>566.89400000000001</c:v>
                </c:pt>
                <c:pt idx="7">
                  <c:v>2962.8890000000001</c:v>
                </c:pt>
                <c:pt idx="8">
                  <c:v>458.74600000000004</c:v>
                </c:pt>
                <c:pt idx="9">
                  <c:v>4429.862000000001</c:v>
                </c:pt>
                <c:pt idx="10">
                  <c:v>753.40900000000011</c:v>
                </c:pt>
                <c:pt idx="11">
                  <c:v>2414.7059999999997</c:v>
                </c:pt>
                <c:pt idx="12">
                  <c:v>668.54000000000008</c:v>
                </c:pt>
                <c:pt idx="13">
                  <c:v>2848.0264999999999</c:v>
                </c:pt>
                <c:pt idx="14">
                  <c:v>1466.9520000000002</c:v>
                </c:pt>
                <c:pt idx="15">
                  <c:v>9220.101999999999</c:v>
                </c:pt>
              </c:numCache>
            </c:numRef>
          </c:val>
          <c:smooth val="0"/>
          <c:extLst>
            <c:ext xmlns:c16="http://schemas.microsoft.com/office/drawing/2014/chart" uri="{C3380CC4-5D6E-409C-BE32-E72D297353CC}">
              <c16:uniqueId val="{00000006-27E4-4029-9AAD-F49722B4E272}"/>
            </c:ext>
          </c:extLst>
        </c:ser>
        <c:ser>
          <c:idx val="3"/>
          <c:order val="3"/>
          <c:tx>
            <c:strRef>
              <c:f>'PT TABLE'!$AD$4:$AD$5</c:f>
              <c:strCache>
                <c:ptCount val="1"/>
                <c:pt idx="0">
                  <c:v>West</c:v>
                </c:pt>
              </c:strCache>
            </c:strRef>
          </c:tx>
          <c:spPr>
            <a:ln w="38100" cap="flat" cmpd="dbl" algn="ctr">
              <a:solidFill>
                <a:schemeClr val="accent4"/>
              </a:solidFill>
              <a:miter lim="800000"/>
            </a:ln>
            <a:effectLst/>
          </c:spPr>
          <c:marker>
            <c:symbol val="none"/>
          </c:marker>
          <c:cat>
            <c:multiLvlStrRef>
              <c:f>'PT TABLE'!$Y$6:$Z$21</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'PT TABLE'!$AD$6:$AD$21</c:f>
              <c:numCache>
                <c:formatCode>General</c:formatCode>
                <c:ptCount val="16"/>
                <c:pt idx="0">
                  <c:v>587.13600000000008</c:v>
                </c:pt>
                <c:pt idx="1">
                  <c:v>5292.3540000000003</c:v>
                </c:pt>
                <c:pt idx="2">
                  <c:v>7758.2640000000001</c:v>
                </c:pt>
                <c:pt idx="3">
                  <c:v>8478.108000000002</c:v>
                </c:pt>
                <c:pt idx="4">
                  <c:v>987.17</c:v>
                </c:pt>
                <c:pt idx="5">
                  <c:v>1380.9559999999999</c:v>
                </c:pt>
                <c:pt idx="6">
                  <c:v>4862.1509999999998</c:v>
                </c:pt>
                <c:pt idx="7">
                  <c:v>3890.0919999999996</c:v>
                </c:pt>
                <c:pt idx="8">
                  <c:v>742.85100000000011</c:v>
                </c:pt>
                <c:pt idx="9">
                  <c:v>8429.7289999999994</c:v>
                </c:pt>
                <c:pt idx="10">
                  <c:v>5544.2800000000007</c:v>
                </c:pt>
                <c:pt idx="11">
                  <c:v>4810.1560000000009</c:v>
                </c:pt>
                <c:pt idx="12">
                  <c:v>5123.8459999999986</c:v>
                </c:pt>
                <c:pt idx="13">
                  <c:v>4057.8110000000011</c:v>
                </c:pt>
                <c:pt idx="14">
                  <c:v>583.85</c:v>
                </c:pt>
                <c:pt idx="15">
                  <c:v>8536.5659999999989</c:v>
                </c:pt>
              </c:numCache>
            </c:numRef>
          </c:val>
          <c:smooth val="0"/>
          <c:extLst>
            <c:ext xmlns:c16="http://schemas.microsoft.com/office/drawing/2014/chart" uri="{C3380CC4-5D6E-409C-BE32-E72D297353CC}">
              <c16:uniqueId val="{00000007-27E4-4029-9AAD-F49722B4E272}"/>
            </c:ext>
          </c:extLst>
        </c:ser>
        <c:dLbls>
          <c:showLegendKey val="0"/>
          <c:showVal val="0"/>
          <c:showCatName val="0"/>
          <c:showSerName val="0"/>
          <c:showPercent val="0"/>
          <c:showBubbleSize val="0"/>
        </c:dLbls>
        <c:smooth val="0"/>
        <c:axId val="1388074271"/>
        <c:axId val="1388071871"/>
      </c:lineChart>
      <c:catAx>
        <c:axId val="138807427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71871"/>
        <c:crosses val="autoZero"/>
        <c:auto val="1"/>
        <c:lblAlgn val="ctr"/>
        <c:lblOffset val="100"/>
        <c:noMultiLvlLbl val="0"/>
      </c:catAx>
      <c:valAx>
        <c:axId val="1388071871"/>
        <c:scaling>
          <c:orientation val="minMax"/>
        </c:scaling>
        <c:delete val="1"/>
        <c:axPos val="l"/>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crossAx val="1388074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[dashbpord2.xlsx]PT TABLE!PivotTable2</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i="0" baseline="0">
                <a:effectLst/>
              </a:rPr>
              <a:t>Orders by Region &amp; Sub-Category</a:t>
            </a:r>
            <a:endParaRPr lang="ar-EG" sz="1600" b="1" i="0" baseline="0">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TABLE'!$B$4:$B$5</c:f>
              <c:strCache>
                <c:ptCount val="1"/>
                <c:pt idx="0">
                  <c:v>Central</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TABLE'!$B$6:$B$8</c:f>
              <c:numCache>
                <c:formatCode>General</c:formatCode>
                <c:ptCount val="3"/>
                <c:pt idx="0">
                  <c:v>49</c:v>
                </c:pt>
                <c:pt idx="1">
                  <c:v>144</c:v>
                </c:pt>
                <c:pt idx="2">
                  <c:v>52</c:v>
                </c:pt>
              </c:numCache>
            </c:numRef>
          </c:val>
          <c:extLst>
            <c:ext xmlns:c16="http://schemas.microsoft.com/office/drawing/2014/chart" uri="{C3380CC4-5D6E-409C-BE32-E72D297353CC}">
              <c16:uniqueId val="{00000000-4F53-411A-BD4F-84E3A0844F75}"/>
            </c:ext>
          </c:extLst>
        </c:ser>
        <c:ser>
          <c:idx val="1"/>
          <c:order val="1"/>
          <c:tx>
            <c:strRef>
              <c:f>'PT TABLE'!$C$4:$C$5</c:f>
              <c:strCache>
                <c:ptCount val="1"/>
                <c:pt idx="0">
                  <c:v>East</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TABLE'!$C$6:$C$8</c:f>
              <c:numCache>
                <c:formatCode>General</c:formatCode>
                <c:ptCount val="3"/>
                <c:pt idx="0">
                  <c:v>60</c:v>
                </c:pt>
                <c:pt idx="1">
                  <c:v>201</c:v>
                </c:pt>
                <c:pt idx="2">
                  <c:v>52</c:v>
                </c:pt>
              </c:numCache>
            </c:numRef>
          </c:val>
          <c:extLst>
            <c:ext xmlns:c16="http://schemas.microsoft.com/office/drawing/2014/chart" uri="{C3380CC4-5D6E-409C-BE32-E72D297353CC}">
              <c16:uniqueId val="{00000004-04F5-447B-9992-325C7305AC9A}"/>
            </c:ext>
          </c:extLst>
        </c:ser>
        <c:ser>
          <c:idx val="2"/>
          <c:order val="2"/>
          <c:tx>
            <c:strRef>
              <c:f>'PT TABLE'!$D$4:$D$5</c:f>
              <c:strCache>
                <c:ptCount val="1"/>
                <c:pt idx="0">
                  <c:v>South</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TABLE'!$D$6:$D$8</c:f>
              <c:numCache>
                <c:formatCode>General</c:formatCode>
                <c:ptCount val="3"/>
                <c:pt idx="0">
                  <c:v>35</c:v>
                </c:pt>
                <c:pt idx="1">
                  <c:v>80</c:v>
                </c:pt>
                <c:pt idx="2">
                  <c:v>26</c:v>
                </c:pt>
              </c:numCache>
            </c:numRef>
          </c:val>
          <c:extLst>
            <c:ext xmlns:c16="http://schemas.microsoft.com/office/drawing/2014/chart" uri="{C3380CC4-5D6E-409C-BE32-E72D297353CC}">
              <c16:uniqueId val="{00000005-04F5-447B-9992-325C7305AC9A}"/>
            </c:ext>
          </c:extLst>
        </c:ser>
        <c:ser>
          <c:idx val="3"/>
          <c:order val="3"/>
          <c:tx>
            <c:strRef>
              <c:f>'PT TABLE'!$E$4:$E$5</c:f>
              <c:strCache>
                <c:ptCount val="1"/>
                <c:pt idx="0">
                  <c:v>West</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 TABLE'!$A$6:$A$8</c:f>
              <c:strCache>
                <c:ptCount val="3"/>
                <c:pt idx="0">
                  <c:v>Furniture</c:v>
                </c:pt>
                <c:pt idx="1">
                  <c:v>Office Supplies</c:v>
                </c:pt>
                <c:pt idx="2">
                  <c:v>Technology</c:v>
                </c:pt>
              </c:strCache>
            </c:strRef>
          </c:cat>
          <c:val>
            <c:numRef>
              <c:f>'PT TABLE'!$E$6:$E$8</c:f>
              <c:numCache>
                <c:formatCode>General</c:formatCode>
                <c:ptCount val="3"/>
                <c:pt idx="0">
                  <c:v>63</c:v>
                </c:pt>
                <c:pt idx="1">
                  <c:v>178</c:v>
                </c:pt>
                <c:pt idx="2">
                  <c:v>60</c:v>
                </c:pt>
              </c:numCache>
            </c:numRef>
          </c:val>
          <c:extLst>
            <c:ext xmlns:c16="http://schemas.microsoft.com/office/drawing/2014/chart" uri="{C3380CC4-5D6E-409C-BE32-E72D297353CC}">
              <c16:uniqueId val="{00000006-04F5-447B-9992-325C7305AC9A}"/>
            </c:ext>
          </c:extLst>
        </c:ser>
        <c:dLbls>
          <c:dLblPos val="outEnd"/>
          <c:showLegendKey val="0"/>
          <c:showVal val="1"/>
          <c:showCatName val="0"/>
          <c:showSerName val="0"/>
          <c:showPercent val="0"/>
          <c:showBubbleSize val="0"/>
        </c:dLbls>
        <c:gapWidth val="100"/>
        <c:overlap val="-24"/>
        <c:axId val="1656563616"/>
        <c:axId val="1660306496"/>
      </c:barChart>
      <c:catAx>
        <c:axId val="16565636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0306496"/>
        <c:crosses val="autoZero"/>
        <c:auto val="1"/>
        <c:lblAlgn val="ctr"/>
        <c:lblOffset val="100"/>
        <c:noMultiLvlLbl val="0"/>
      </c:catAx>
      <c:valAx>
        <c:axId val="1660306496"/>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65656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[dashbpord2.xlsx]PT TABLE!PivotTable4</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i="0" u="none" strike="noStrike" baseline="0">
                <a:solidFill>
                  <a:schemeClr val="tx2"/>
                </a:solidFill>
              </a:rPr>
              <a:t>Sales &amp; Orders by Sub-Category</a:t>
            </a:r>
            <a:endParaRPr lang="en-US" sz="180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TABLE'!$K$4</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TABLE'!$J$5:$J$21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TABLE'!$K$5:$K$21</c:f>
              <c:numCache>
                <c:formatCode>_(* #,##0_);_(* \(#,##0\);_(* "-"??_);_(@_)</c:formatCode>
                <c:ptCount val="17"/>
                <c:pt idx="0">
                  <c:v>20481.394000000004</c:v>
                </c:pt>
                <c:pt idx="1">
                  <c:v>8369.8779999999988</c:v>
                </c:pt>
                <c:pt idx="2">
                  <c:v>3858.0840000000003</c:v>
                </c:pt>
                <c:pt idx="3">
                  <c:v>21412.52900000001</c:v>
                </c:pt>
                <c:pt idx="4">
                  <c:v>13834.990400000002</c:v>
                </c:pt>
                <c:pt idx="5">
                  <c:v>30809.087999999989</c:v>
                </c:pt>
                <c:pt idx="6">
                  <c:v>9359.8320000000003</c:v>
                </c:pt>
                <c:pt idx="7">
                  <c:v>2109.3320000000003</c:v>
                </c:pt>
                <c:pt idx="8">
                  <c:v>381.66</c:v>
                </c:pt>
                <c:pt idx="9">
                  <c:v>10256.893999999997</c:v>
                </c:pt>
                <c:pt idx="10">
                  <c:v>1534.34</c:v>
                </c:pt>
                <c:pt idx="11">
                  <c:v>32622.115999999995</c:v>
                </c:pt>
                <c:pt idx="12">
                  <c:v>6386.2399999999971</c:v>
                </c:pt>
                <c:pt idx="13">
                  <c:v>31036.5</c:v>
                </c:pt>
                <c:pt idx="14">
                  <c:v>21809.635999999999</c:v>
                </c:pt>
                <c:pt idx="15">
                  <c:v>2391.6480000000006</c:v>
                </c:pt>
                <c:pt idx="16">
                  <c:v>24476.606499999994</c:v>
                </c:pt>
              </c:numCache>
            </c:numRef>
          </c:val>
          <c:extLst>
            <c:ext xmlns:c16="http://schemas.microsoft.com/office/drawing/2014/chart" uri="{C3380CC4-5D6E-409C-BE32-E72D297353CC}">
              <c16:uniqueId val="{00000000-0BCD-43F6-8E0C-C497DA32147C}"/>
            </c:ext>
          </c:extLst>
        </c:ser>
        <c:ser>
          <c:idx val="1"/>
          <c:order val="1"/>
          <c:tx>
            <c:strRef>
              <c:f>'PT TABLE'!$L$4</c:f>
              <c:strCache>
                <c:ptCount val="1"/>
                <c:pt idx="0">
                  <c:v>Count of Order 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TABLE'!$J$5:$J$21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'PT TABLE'!$L$5:$L$21</c:f>
              <c:numCache>
                <c:formatCode>General</c:formatCode>
                <c:ptCount val="17"/>
                <c:pt idx="0">
                  <c:v>83</c:v>
                </c:pt>
                <c:pt idx="1">
                  <c:v>43</c:v>
                </c:pt>
                <c:pt idx="2">
                  <c:v>81</c:v>
                </c:pt>
                <c:pt idx="3">
                  <c:v>145</c:v>
                </c:pt>
                <c:pt idx="4">
                  <c:v>21</c:v>
                </c:pt>
                <c:pt idx="5">
                  <c:v>58</c:v>
                </c:pt>
                <c:pt idx="6">
                  <c:v>6</c:v>
                </c:pt>
                <c:pt idx="7">
                  <c:v>30</c:v>
                </c:pt>
                <c:pt idx="8">
                  <c:v>21</c:v>
                </c:pt>
                <c:pt idx="9">
                  <c:v>95</c:v>
                </c:pt>
                <c:pt idx="10">
                  <c:v>41</c:v>
                </c:pt>
                <c:pt idx="11">
                  <c:v>13</c:v>
                </c:pt>
                <c:pt idx="12">
                  <c:v>127</c:v>
                </c:pt>
                <c:pt idx="13">
                  <c:v>88</c:v>
                </c:pt>
                <c:pt idx="14">
                  <c:v>95</c:v>
                </c:pt>
                <c:pt idx="15">
                  <c:v>20</c:v>
                </c:pt>
                <c:pt idx="16">
                  <c:v>33</c:v>
                </c:pt>
              </c:numCache>
            </c:numRef>
          </c:val>
          <c:extLst>
            <c:ext xmlns:c16="http://schemas.microsoft.com/office/drawing/2014/chart" uri="{C3380CC4-5D6E-409C-BE32-E72D297353CC}">
              <c16:uniqueId val="{00000001-0BCD-43F6-8E0C-C497DA32147C}"/>
            </c:ext>
          </c:extLst>
        </c:ser>
        <c:dLbls>
          <c:showLegendKey val="0"/>
          <c:showVal val="0"/>
          <c:showCatName val="0"/>
          <c:showSerName val="0"/>
          <c:showPercent val="0"/>
          <c:showBubbleSize val="0"/>
        </c:dLbls>
        <c:gapWidth val="247"/>
        <c:overlap val="-27"/>
        <c:axId val="1388085791"/>
        <c:axId val="1388077151"/>
      </c:barChart>
      <c:catAx>
        <c:axId val="1388085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77151"/>
        <c:crosses val="autoZero"/>
        <c:auto val="1"/>
        <c:lblAlgn val="ctr"/>
        <c:lblOffset val="100"/>
        <c:noMultiLvlLbl val="0"/>
      </c:catAx>
      <c:valAx>
        <c:axId val="138807715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388085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[dashbpord2.xlsx]PT TABLE!PivotTable9</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1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1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2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2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2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2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3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3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3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3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4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4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4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47"/>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pivotFmt>
      <c:pivotFmt>
        <c:idx val="4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pivotFmt>
      <c:pivotFmt>
        <c:idx val="4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5"/>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7.3790814495873699E-2"/>
          <c:y val="0.29880916972185906"/>
          <c:w val="0.74826874775744523"/>
          <c:h val="0.39740024261565016"/>
        </c:manualLayout>
      </c:layout>
      <c:doughnutChart>
        <c:varyColors val="1"/>
        <c:ser>
          <c:idx val="0"/>
          <c:order val="0"/>
          <c:tx>
            <c:strRef>
              <c:f>'PT TABLE'!$AH$4</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1-9EBD-4139-9741-5F70E6457F97}"/>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3-9EBD-4139-9741-5F70E6457F97}"/>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9EBD-4139-9741-5F70E6457F97}"/>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7-9EBD-4139-9741-5F70E6457F97}"/>
              </c:ext>
            </c:extLst>
          </c:dPt>
          <c:dLbls>
            <c:dLbl>
              <c:idx val="0"/>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EBD-4139-9741-5F70E6457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'PT TABLE'!$AG$5:$AG$8</c:f>
              <c:strCache>
                <c:ptCount val="4"/>
                <c:pt idx="0">
                  <c:v>Central</c:v>
                </c:pt>
                <c:pt idx="1">
                  <c:v>East</c:v>
                </c:pt>
                <c:pt idx="2">
                  <c:v>South</c:v>
                </c:pt>
                <c:pt idx="3">
                  <c:v>West</c:v>
                </c:pt>
              </c:strCache>
            </c:strRef>
          </c:cat>
          <c:val>
            <c:numRef>
              <c:f>'PT TABLE'!$AH$5:$AH$8</c:f>
              <c:numCache>
                <c:formatCode>_(* #,##0_);_(* \(#,##0\);_(* "-"??_);_(@_)</c:formatCode>
                <c:ptCount val="4"/>
                <c:pt idx="0">
                  <c:v>67009.848399999988</c:v>
                </c:pt>
                <c:pt idx="1">
                  <c:v>59491.641000000025</c:v>
                </c:pt>
                <c:pt idx="2">
                  <c:v>43563.958499999979</c:v>
                </c:pt>
                <c:pt idx="3">
                  <c:v>71065.319999999978</c:v>
                </c:pt>
              </c:numCache>
            </c:numRef>
          </c:val>
          <c:extLst>
            <c:ext xmlns:c16="http://schemas.microsoft.com/office/drawing/2014/chart" uri="{C3380CC4-5D6E-409C-BE32-E72D297353CC}">
              <c16:uniqueId val="{00000008-9EBD-4139-9741-5F70E6457F9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610513096519555"/>
          <c:y val="0.36793144511936487"/>
          <c:w val="0.16111051309651955"/>
          <c:h val="0.283356912584841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[dashbpord2.xlsx]PT TABLE!PivotTable6</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2"/>
                </a:solidFill>
              </a:rPr>
              <a:t>Total Profit by Shipping</a:t>
            </a:r>
            <a:r>
              <a:rPr lang="ar-EG" sz="1600" b="1" i="0" u="none" strike="noStrike" baseline="0">
                <a:solidFill>
                  <a:schemeClr val="tx2"/>
                </a:solidFill>
              </a:rPr>
              <a:t> </a:t>
            </a:r>
            <a:endParaRPr lang="en-US" sz="160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177205411474838E-3"/>
              <c:y val="9.06380305762547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2A1D35-8A57-403A-8E20-CBC65BB710B0}" type="VALUE">
                  <a:rPr lang="en-US" sz="900" b="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235441082294968E-2"/>
              <c:y val="8.9957620447363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85CE51-0F0A-4D95-975B-E9B818E351B9}" type="VALUE">
                  <a:rPr lang="en-US" sz="105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47A39F-A4FC-4E24-9370-D945C868759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4A066E-276E-4D16-B54B-38D83BDC728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4A066E-276E-4D16-B54B-38D83BDC728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47A39F-A4FC-4E24-9370-D945C868759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235441082294968E-2"/>
              <c:y val="8.9957620447363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85CE51-0F0A-4D95-975B-E9B818E351B9}" type="VALUE">
                  <a:rPr lang="en-US" sz="105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177205411474838E-3"/>
              <c:y val="9.06380305762547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2A1D35-8A57-403A-8E20-CBC65BB710B0}" type="VALUE">
                  <a:rPr lang="en-US" sz="900" b="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4A066E-276E-4D16-B54B-38D83BDC7281}"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47A39F-A4FC-4E24-9370-D945C8687592}"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46917848897263E-3"/>
              <c:y val="9.19142127235801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85CE51-0F0A-4D95-975B-E9B818E351B9}"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177205411474838E-3"/>
              <c:y val="9.06380305762547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2A1D35-8A57-403A-8E20-CBC65BB710B0}" type="VALUE">
                  <a:rPr lang="en-US" sz="9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8359001956544249E-2"/>
          <c:y val="0.16391792379606604"/>
          <c:w val="0.72628643459041309"/>
          <c:h val="0.78818690270613179"/>
        </c:manualLayout>
      </c:layout>
      <c:barChart>
        <c:barDir val="col"/>
        <c:grouping val="clustered"/>
        <c:varyColors val="0"/>
        <c:ser>
          <c:idx val="0"/>
          <c:order val="0"/>
          <c:tx>
            <c:strRef>
              <c:f>'PT TABLE'!$Q$4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E85-4BAB-9C88-DDD3212CFD93}"/>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85-4BAB-9C88-DDD3212CFD93}"/>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E85-4BAB-9C88-DDD3212CFD93}"/>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85-4BAB-9C88-DDD3212CFD93}"/>
              </c:ext>
            </c:extLst>
          </c:dPt>
          <c:dLbls>
            <c:dLbl>
              <c:idx val="0"/>
              <c:tx>
                <c:rich>
                  <a:bodyPr/>
                  <a:lstStyle/>
                  <a:p>
                    <a:fld id="{294A066E-276E-4D16-B54B-38D83BDC7281}" type="VALUE">
                      <a:rPr lang="en-US" sz="1000"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E85-4BAB-9C88-DDD3212CFD93}"/>
                </c:ext>
              </c:extLst>
            </c:dLbl>
            <c:dLbl>
              <c:idx val="1"/>
              <c:tx>
                <c:rich>
                  <a:bodyPr/>
                  <a:lstStyle/>
                  <a:p>
                    <a:fld id="{3947A39F-A4FC-4E24-9370-D945C8687592}" type="VALUE">
                      <a:rPr lang="en-US" sz="1000" b="1">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E85-4BAB-9C88-DDD3212CFD93}"/>
                </c:ext>
              </c:extLst>
            </c:dLbl>
            <c:dLbl>
              <c:idx val="2"/>
              <c:layout>
                <c:manualLayout>
                  <c:x val="-2.1446917848897263E-3"/>
                  <c:y val="9.1914212723580177E-2"/>
                </c:manualLayout>
              </c:layout>
              <c:tx>
                <c:rich>
                  <a:bodyPr/>
                  <a:lstStyle/>
                  <a:p>
                    <a:fld id="{A785CE51-0F0A-4D95-975B-E9B818E351B9}" type="VALUE">
                      <a:rPr lang="en-US" sz="1000"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E85-4BAB-9C88-DDD3212CFD93}"/>
                </c:ext>
              </c:extLst>
            </c:dLbl>
            <c:dLbl>
              <c:idx val="3"/>
              <c:layout>
                <c:manualLayout>
                  <c:x val="-9.1177205411474838E-3"/>
                  <c:y val="9.0638030576254788E-2"/>
                </c:manualLayout>
              </c:layout>
              <c:tx>
                <c:rich>
                  <a:bodyPr/>
                  <a:lstStyle/>
                  <a:p>
                    <a:fld id="{DF2A1D35-8A57-403A-8E20-CBC65BB710B0}" type="VALUE">
                      <a:rPr lang="en-US" sz="900"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E85-4BAB-9C88-DDD3212CFD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TABLE'!$P$5:$P$8</c:f>
              <c:strCache>
                <c:ptCount val="4"/>
                <c:pt idx="0">
                  <c:v>First Class</c:v>
                </c:pt>
                <c:pt idx="1">
                  <c:v>Same Day</c:v>
                </c:pt>
                <c:pt idx="2">
                  <c:v>Second Class</c:v>
                </c:pt>
                <c:pt idx="3">
                  <c:v>Standard Class</c:v>
                </c:pt>
              </c:strCache>
            </c:strRef>
          </c:cat>
          <c:val>
            <c:numRef>
              <c:f>'PT TABLE'!$Q$5:$Q$8</c:f>
              <c:numCache>
                <c:formatCode>_(* #,##0_);_(* \(#,##0\);_(* "-"??_);_(@_)</c:formatCode>
                <c:ptCount val="4"/>
                <c:pt idx="0">
                  <c:v>4804.9780999999984</c:v>
                </c:pt>
                <c:pt idx="1">
                  <c:v>-2832.7893999999987</c:v>
                </c:pt>
                <c:pt idx="2">
                  <c:v>4278.337300000002</c:v>
                </c:pt>
                <c:pt idx="3">
                  <c:v>12495.653199999997</c:v>
                </c:pt>
              </c:numCache>
            </c:numRef>
          </c:val>
          <c:extLst>
            <c:ext xmlns:c16="http://schemas.microsoft.com/office/drawing/2014/chart" uri="{C3380CC4-5D6E-409C-BE32-E72D297353CC}">
              <c16:uniqueId val="{00000004-7E85-4BAB-9C88-DDD3212CFD93}"/>
            </c:ext>
          </c:extLst>
        </c:ser>
        <c:dLbls>
          <c:dLblPos val="inEnd"/>
          <c:showLegendKey val="0"/>
          <c:showVal val="1"/>
          <c:showCatName val="0"/>
          <c:showSerName val="0"/>
          <c:showPercent val="0"/>
          <c:showBubbleSize val="0"/>
        </c:dLbls>
        <c:gapWidth val="100"/>
        <c:overlap val="-24"/>
        <c:axId val="1641291152"/>
        <c:axId val="1641290192"/>
      </c:barChart>
      <c:catAx>
        <c:axId val="164129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90192"/>
        <c:crosses val="autoZero"/>
        <c:auto val="1"/>
        <c:lblAlgn val="ctr"/>
        <c:lblOffset val="100"/>
        <c:noMultiLvlLbl val="0"/>
      </c:catAx>
      <c:valAx>
        <c:axId val="1641290192"/>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64129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[dashbpord2.xlsx]PT TABLE!PivotTable5</c:name>
    <c:fmtId val="36"/>
  </c:pivotSource>
  <c:chart>
    <c:title>
      <c:layout>
        <c:manualLayout>
          <c:xMode val="edge"/>
          <c:yMode val="edge"/>
          <c:x val="0.57166666666666666"/>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773662029017619"/>
          <c:y val="0.14754400090194927"/>
          <c:w val="0.57410168849993337"/>
          <c:h val="0.7450565033537474"/>
        </c:manualLayout>
      </c:layout>
      <c:bar3DChart>
        <c:barDir val="bar"/>
        <c:grouping val="clustered"/>
        <c:varyColors val="0"/>
        <c:ser>
          <c:idx val="0"/>
          <c:order val="0"/>
          <c:tx>
            <c:strRef>
              <c:f>'PT TABLE'!$BC$12</c:f>
              <c:strCache>
                <c:ptCount val="1"/>
                <c:pt idx="0">
                  <c:v>Total</c:v>
                </c:pt>
              </c:strCache>
            </c:strRef>
          </c:tx>
          <c:spPr>
            <a:solidFill>
              <a:schemeClr val="accent1"/>
            </a:solidFill>
            <a:ln>
              <a:noFill/>
            </a:ln>
            <a:effectLst/>
            <a:sp3d/>
          </c:spPr>
          <c:invertIfNegative val="0"/>
          <c:cat>
            <c:strRef>
              <c:f>'PT TABLE'!$BB$13:$BB$17</c:f>
              <c:strCache>
                <c:ptCount val="5"/>
                <c:pt idx="0">
                  <c:v>Becky Martin</c:v>
                </c:pt>
                <c:pt idx="1">
                  <c:v>Grant Thornton</c:v>
                </c:pt>
                <c:pt idx="2">
                  <c:v>Christopher Martinez</c:v>
                </c:pt>
                <c:pt idx="3">
                  <c:v>Sean Braxton</c:v>
                </c:pt>
                <c:pt idx="4">
                  <c:v>Nathan Mautz</c:v>
                </c:pt>
              </c:strCache>
            </c:strRef>
          </c:cat>
          <c:val>
            <c:numRef>
              <c:f>'PT TABLE'!$BC$13:$BC$17</c:f>
              <c:numCache>
                <c:formatCode>_(* #,##0_);_(* \(#,##0\);_(* "-"??_);_(@_)</c:formatCode>
                <c:ptCount val="5"/>
                <c:pt idx="0">
                  <c:v>10539.895999999999</c:v>
                </c:pt>
                <c:pt idx="1">
                  <c:v>8167.4199999999992</c:v>
                </c:pt>
                <c:pt idx="2">
                  <c:v>6412.7699999999995</c:v>
                </c:pt>
                <c:pt idx="3">
                  <c:v>5579.94</c:v>
                </c:pt>
                <c:pt idx="4">
                  <c:v>4807.3719999999994</c:v>
                </c:pt>
              </c:numCache>
            </c:numRef>
          </c:val>
          <c:extLst>
            <c:ext xmlns:c16="http://schemas.microsoft.com/office/drawing/2014/chart" uri="{C3380CC4-5D6E-409C-BE32-E72D297353CC}">
              <c16:uniqueId val="{00000000-C24D-43A2-B97C-EFC847B40476}"/>
            </c:ext>
          </c:extLst>
        </c:ser>
        <c:dLbls>
          <c:showLegendKey val="0"/>
          <c:showVal val="0"/>
          <c:showCatName val="0"/>
          <c:showSerName val="0"/>
          <c:showPercent val="0"/>
          <c:showBubbleSize val="0"/>
        </c:dLbls>
        <c:gapWidth val="150"/>
        <c:shape val="box"/>
        <c:axId val="1332432303"/>
        <c:axId val="1009293663"/>
        <c:axId val="0"/>
      </c:bar3DChart>
      <c:catAx>
        <c:axId val="133243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9293663"/>
        <c:crosses val="autoZero"/>
        <c:auto val="1"/>
        <c:lblAlgn val="ctr"/>
        <c:lblOffset val="100"/>
        <c:noMultiLvlLbl val="0"/>
      </c:catAx>
      <c:valAx>
        <c:axId val="100929366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43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600" b="1">
                <a:solidFill>
                  <a:schemeClr val="tx2"/>
                </a:solidFill>
              </a:rPr>
              <a:t>Sales by State</a:t>
            </a:r>
            <a:endParaRPr lang="en-US" sz="1600" b="1" i="0" u="none" strike="noStrike" baseline="0">
              <a:solidFill>
                <a:schemeClr val="tx2"/>
              </a:solidFill>
              <a:latin typeface="Calibri" panose="020F0502020204030204"/>
            </a:endParaRPr>
          </a:p>
        </cx:rich>
      </cx:tx>
      <cx:spPr>
        <a:solidFill>
          <a:schemeClr val="accent1">
            <a:lumMod val="60000"/>
            <a:lumOff val="40000"/>
          </a:schemeClr>
        </a:solidFill>
      </cx:spPr>
    </cx:title>
    <cx:plotArea>
      <cx:plotAreaRegion>
        <cx:plotSurface>
          <cx:spPr>
            <a:ln>
              <a:noFill/>
            </a:ln>
          </cx:spPr>
        </cx:plotSurface>
        <cx:series layoutId="regionMap" uniqueId="{0AFFEEFF-1527-49BD-857A-63A01264CA24}">
          <cx:tx>
            <cx:txData>
              <cx:f>_xlchart.v5.2</cx:f>
              <cx:v>Count of Order ID</cx:v>
            </cx:txData>
          </cx:tx>
          <cx:dataId val="0"/>
          <cx:layoutPr>
            <cx:regionLabelLayout val="showAll"/>
            <cx:geography viewedRegionType="countryRegion" cultureLanguage="en-US" cultureRegion="US" attribution="Powered by Bing">
              <cx:geoCache provider="{E9337A44-BEBE-4D9F-B70C-5C5E7DAFC167}">
                <cx:binary>5H1rU9zIsu1fcfjzFaNSvVQ79pyIkbobMAZswJ4Zf1FgYKTSq/R+/fqzRDcGZGyzY3PjBnGJCffQ
UklVuSqzMldmFf++Gv51ld5cVm+GLM3rf10Nv7+Nmqb412+/1VfRTXZZ72X6qjK1+afZuzLZb+af
f/TVzW/X1WWv8/A3xybst6vosmpuhrf/8288Lbwx783VZaNN/rG9qcazm7pNm/on15689ObyOtP5
StdNpa8a8vvb1U162V9WN2/f3OSNbsaLsbj5/e2ju96++W35rO/e+yZF15r2Gm2p2rNtVwqHcrX9
efsmNXm4u2xJvseEKxgl7vYyv3v3yWWG9s/p0W1/Lq+vq5u6xpBuPx+2fNR/XFi/fXNl2ryZ5RZC
hL+//ZTr5ub6zXlz2dzUb9/o2vjbG3wzD+LT+e2of3ss+f/59+ILyGHxzQNwlkL71aXvsPFNaqrL
a3MnnxfAxt1TyuXcZo59+0MeY0NsvseZdKmgdy/dgvKcrjwNyn3LBSj+6asE5Y/08utldnknnhfA
xNmTQjDHceRjMFyx5zKbUsd2vinSVkm3mDyjJ09D8q3hApE/3r9ORCo9mfwlEWF7jqKO4xK2FfwC
GELIHhDjSnBxp0WPgPl1h34AzF3DJTBfXiUwp9VNaPKX0xRG9xR1sXZQ8U0hHq4sxLH3OHdhxBgQ
e4jIr3vyNCB37RZ4nJ69Sjx8k+c3V42+aps78fz35ouRPS454ZTyJ5cUCfNGXeiSs1jnn9mbp4F5
1HiBjn/xKtH5o0ou8/oSzsh25v730FC2BxfLtSnZeWLu4wVGOXuMKsKhM1voFgg9p0dPw3PfcoHN
H69Tc44v6/ryKmrrm6Z5QYCYs0ekQ6Wt7K1BWwAksc7YHC6Au7Bnz+7P0/Asmi8wOv7jVeqPf5nq
f0yV65f0BOSew5kQiqgnjRshak8AQkkY2SJ4p707t/lZfXoapIfjWSDkv06ENghn9PULwuO4e1xx
ThjdomOTxwbOhYFzJWWOu7thEdU8o0NPY/Ot4QKYzev0oPdvTBW+qN44e4Jh0WeKPKk3Lt1jjFHJ
7N3KswDmGR16GphvDRfA7L9OjTk3bRO98S8rk+oXjXDgSdtUMYfs8IH8H3rSrg3PAeAg0tmaNfHY
rj2/X0/DtGy/QOvcf5Ur0GEKlIyu72T133twzN4jDiPgY3aRqFrgpPYIQzzE3Xuu7WHc85wePY3Q
fcsFNoev08Qd5tf68kVVSO3BK1DMvXOelyok9hD0SAUi4Unn+hkd+gEydyNZAnPyOpXG9C/oEcCj
tiUTXDK2lfoCFUX35jBVEHt3fWHYDn/Rmx9ActtqicfrXHKOYD/aq2R8OSNG5R53pOMKvuMxF1GO
y6EpUkpKdl7aIgx9To+exuW+5QKbo79fpa68N62uX9iM2XsKjJktxG6lX6wwisATIC7I0F2Iyu4m
xjbCeVaXnkbnQdMFPO9fh+pc/TSl9JDFeXTnf55PAwUAiwae4PZnadKQb5s9BLhzW19tgdAi0/Xj
bj2N0qL5o5G8jjTasb6KdHj5kkQ0iDXJpJLuTmm+t2iS2gqL/9Pu83N69DQa9y0XKnN8+Cot2vFl
NaaX+fWdUfnvXWaKFCeWGySfH7vKUuxJmyCvc6cmUKOHrvJzevIDTL6NYYnJ6lVichrpF0w5I4Rh
oJiJAst5+7PUFeQHbEXB0tybt4e4/Ko3T2OybbXA4/TgVeJxrJG2qU3zkm6y2KPgZsD+7/gX8lhZ
FNsjCqQZkqALLXlOX56G5MEwFrgcv87I5eSmf3N8M+irF9QWpGxAylDwydvMsr1Y7Ikt9ojtUgVu
5jEyz+vN09A8bLvA5uT4lepMXWv8VxT6TkwvsLTAVDkobfpGtiyWGBfJAC4cFNfsQv5FcHk89+jX
nXoao0eNFyAdn79akExbvSRC7h4VEowM2/GaMF8Pec0544lAUxJn55gtQs1ZyL/q0Y/h2bZcYvM6
y5yOTd68KF/G5B4SmbMf8DQzQ2xoD+PEEXQRwDyjKz/A5G4MS0guXqW6nNx8rS7r5CXdANRuIHdJ
pdytNkt1UXvgBqSDUs5t6LkwaM/p0dPQ3LdcYHOyfqXYdJcvmdlEES3lgjGOMPIpr5kQgbWGozDA
3Xpw33kDv+rPj3DZtlui8vmVotK/ObjMijrSL1nhjDo04XIQZndqsXDSULbBoVIOqjq2arNwomd3
61nd+hFGj5ovoXqdQc4sk3c3VX0zvpy/NmfP4CkrTp/2BiTbE3DmUGy/1TG1WHie16cfg3Q3niVC
716lMn3WqBF46eoarPeugsv2pJGT7p5AgMqVvbu+oGye06On0blvucDm8x+vEpuLm5kiqG9uXk55
KEf1ORI29m6BsRe+AarTKaPOXP20NXKLFehZXXoanQdNF/BcvF6m4G9TJS+HDvKcYDIdNu8OuP1Z
LkF8D4GojUVqlxT4znPr3/yqR0+DMxvFbcsFNid/v0rVOTHV/50SG+ykoeA1v3lwi00EEqUbLhw4
IXa+9xKhZ/frBzgt2i/R8l8lWhc3w4tWSBPsRaMuQ6HTNyP2iC+AGw4VU1Lep64fktO/7M7T2Oya
LSC5+OtVQnKapJeRedEdUVAdlzKUcWxBWZZ1KhQUgAO1bbnzC8DDPUTlOT16Gpj7lgtsTo9eJTYf
4BfUY9pdvqjfBr/aVSiK3uUO7CU+Uu651HWhNffB60N8nturpzF63HqB04fX6b+dRdh1+uawftlU
KLbmCMd1FN9ttFWL1NscpxK4d/NWttufhX/93F49jdPj1guczg5fpT59ai6jO1vzAvkErC7Y/QGm
YGfoFi727T5DidobRyycg1/142lEtq0WSHx6nWTon5cgdfKwedH9hRKpaoJSG3e3rixctu3+QhS2
36UXFiHP8/r0NDYP2y4Q+vN12rQ/dX1l8lq/bN0NypzA54jdwoKF/6G7hgSchLfGuXp6v8ezuvQD
fO5Hs4Tn/5Ep+/HBA99OZ1hdNpfr22MdHpw98POrt6PHYROLpm+26/eTNm976fD697dEILH2oLxt
fsiu5bZa8OjRDscHTW4u6+b3txbqDrBYSQn3jjOmkKV7+6a/ub1EbJT2cpxbIGZ3fWbG377J5xjn
97fMfvsGabv5f6nAAQfIjbu2Q4VLBCPfjs/4YNIR25G/DX/3+5u8zT4YnTc1+s9gZ4vtfXPnOApT
MJVwHgIRCNVghvGm4uryDJZnvv3/lEHjpnE4iKPMKVziO0KSfiVIP/al39ZW0ZSedKag7b0koyY4
MflIuF9x26rUamooI+epKW0re1fXglbD2pqGigUHbtAS4be047Uny3QqTpIIp2bITVZ1GetPGjvR
0eCNjuyZz2pLNOGmqdNMvO9YWV8lYf+xYVoGPnEs6bNIyE0KJmDc1GW4KpxpPLfcaSLvpybShV8q
ktul5ygnnvYdUtX2+3wgKffj2q4sT1ZIWx+kpduWH2IrSM6rMlB/1+lEI7+qy5b4VdXFxZHIqyhY
m1H9ZWHDgsErRjGtB5U6er+AM5h7dMyzNTXaPU3KXPxdStmvLGX6L7pj8YeJN3Jj2pH7uoqqxos7
Z2g8QyPL9RpjFfvJlKWHcZtGX0TNy7+cmjrGI0arK6Pcq3QYT1y7irXXJdl4iH+C464V9FRzbR8o
Jcm6ianyB2pnuIeq8mMb51Hv2+Nor5o+7LTHCqkyz7Sm8lIWiNHrCe8OcmvKPrSkrT8PURYcOtXY
70+THD+q2hnfWSouK2/UzmB5QWDpgyiN9TXmA/8YJ11H151xrNMoy939gYvqoDYDed8HTX4RTVLv
T25rPpiJSb8bwsj4zG2cY8Y750/LpDXzROnQU8PCdqWK1PgZKqUPO02mo7ThY7fSLWvXxMnbtRV1
jtdbwbChPZ0OUhYPxh+DcvpijVmxcXVq7Ze6nA5Z5ExXdubIw6gmxflkj8FJa5U4YMYK22yfTdZ4
OrST6AjZDB1rHJF4d59N4rAuOra4UxStr+1M6tIrO8Xy6l1c1GGfv8uCuk/NSjZBGauNU1lnrkXc
3va6Pq37aW1HAbGvHp6v8kg1r0wxVjqMdofbfPv1fy5Mhv9uD1y5/3I+G+f+N5RHbg/V+eld2CQ2
m6N6edNsUb896/5ol9mKfTvnZWEXt8fw/MBo/vTi8yyqg6J4eIXfDuD5zqLOdNzjIqTZcO2a7awq
sSmO5EE4PRszHFxhw8p9s6qoHp7XU4b9+UqifOWbVUXZvo2MvVSuQ+bqfIbsyJ2VJXBcFRGwiyjr
c7AF6T+xshwPemxkFV6PLUwMZYJC8dmcPzKyMUunPszj95XT6vGSGQarmDPZMMwlZeXKo33Vx+OB
pqbOrEPjRAWvfMVlfmB6be8Lqx6vK4rJ7Vt2wf0hHrvpaMiFvCmrVK60kKKayoO8CUVSCy9J+5Gd
W3UE3Qy9rnWcor5OZV6lnj2GruTrZJriSJ3a2mrkx860HaHrQjRVMZ7TvAoaX/RdY/+d0j7Vozcx
y2n9KjJ2nr3TrtX7gystz+kyPk6JF048GaL3osvLwj2PHDmZPvZnhsNZk4w1U+XFeZHVFzXKvMna
jRlN7T91KZup3c+LznUyv7az3D7SRCfterLLq8iqq40si/EDd9Jc+tPYx2gqRmv6UuS21Kjrwqza
ORH/3yvgo7L2uwjvVpPmaf9j9VtUx9+7Qs7cbqd/Ak6JpBS7koAfqi7v9Q/JE4TgSBQjCcax0dxF
hL5zahCcU5xjgrr+3dkZO90jqG+mDupoFEHphsLe8/9E9yi8pge6N78RUY0SsDJS4HAVBx14qHsp
iauc9Am/cUnQtGrtFKywUt8uOj195rwtkktmVbze5OVYj2zVOAOPBt8ygf01zCuWW75xhkS+UxEf
21UCdS0PepWl9XHKs8IaPZMMvPjKkwbL1coSIo2pH0rJyI0czNiepdEg00vX5UVwRTNaipNQ6LKg
XkZ0ja4w6Hp2GhG76fNVmPIqKTzT8yx7T+RYosthlpHxyMloHv9j1Z1BmweQ7qb+QzcQYd8jGSGF
7DCFcoyZ9IK4Zvv1wAmUJNNtJCL3JuhNHpcHTcZShvW3qyt5MNVho3t/0gWOJ0jtQDvB5uevJzD4
j98/l6xRJHtQ94mda2q+/uD9U0zdWthCX8ckoYn2G0M5jTylHKuMN9XQh1WzqqImZJFnMWsq8g89
o2Pt+IRNoqfvGhHldeIZU9KKnIAvKnHt552c/fyHnXQZd10HE1NwhmUBNaqPO1nSPJtMnDuf3Cai
ZbFpirCo9X5j0bYJ4Bji6KPPyFiNNtkE0WDBhCK3OJalVxUlTkaxIgIQycDnr0yZoA4qVbFkB7pP
B3xVjr0RJ0E54C4d0RqPGcNM1JvEkhXdFG7V0dof+7ww4+oXQ1vgj6EpgkMEENsgGc3m1e6R/Jsh
ITJtzfiJhl3SJ15TlaI7m9JJm6vGdhMn98bGlNNn6eRWl3iZZUhWHQwiS8NxPWWCwHtX1Gr7T9CL
CuLoZUxJ/o52E+Zsri01dPusTwtcqlstMGqn6IFRo7IIL9RNYOM3aBiBKLKQQRRNIyOr8XnaxlPv
RXDt8dtWPqEezFxG9s2sPaEDKIx8DK9AHoRJh7swOjaMxWMZkH5iYhSlddFl0shyYyYt0xMncocu
8WFXojD/1YyaH3kfezEXmRmGChtEfEhywmtZqJ0dm4CJYpAXdUswQ5oRZ7Po/XJqIB8WF8zwddBb
Zqg9kdIRAk+7IE8uM2wNhZT6akibD1LUbhBvgoa53VkjhNOdVWAUksshszi+GfJanOxgC8s+hyiH
1M1hfabanuEIk2EGwoo1wYcaY9Wd2SYz6AlPEszpRDSzlfq5tJmi3w0ezhgcAOzQBycFM/9Y3pRb
tRXaw3gRRaNIA69pE1r4QW8H8YlwJlaN6zKqROF6ynFUHHlVBd//nZ22dOBekUWldVSFmcWOgyyS
1C97M4RXtk7tgz5omVglMjfpNYvTqTrLjMhwMuVE0v6UdcQeppUb54ojcmSU1e2m77nbnVRlFAzG
E5mdkffUroha5XmliB8PTVsFnhnccoq9KO8qNvjhgOAo8bqp6sfUGywes3iDkL9l5yJtRhb69kDa
vt0vVB+ROa4MwuawiaQNccop7acJRg1TsTgckjFovbIuYrHplAzpimfWMF30wjj6c8vSMFhRxDHE
H5EPN6MnwqZWK6WdPvFDnoYHOIWnWZXG7qejQOW2vU96Ejmb0KrdyF4XicnYp5F3YWJ9UsYehouh
GWhzbNVNbp3ZLJDtNa+EqD5Nsgtz4xXGkKj+qIYpTfYDjbVtMxnmZsZTiaFO5Mtqqkv3K8liN7+O
nMJ0wwpTZSxvVNv0ve3DB61JfNAEecndVZvYPBX7QWYl4kQRaSXJficKp06jm8jNaQMpD4S6FTue
qOkwpSeE8UX0Ea59I+x1nrOikIetCnSUvs/5kJThOu7Cpu/e9zwItd4ELOtbfhbkDi0PRcyi0N1g
rgiaeEU32ary09rVvfJCi4myWUVBNcXjYR/WVqT3e50NwviJ6hkMbFfolv9lrFbw+hCTA1Gp39Os
xurSFkOMhzQjdQdxmjpS4qPZfmlpneIaWBeG102mZuXXqS2V072LRVWEzgEZLEtKf4x50sr9IY9J
lnqcddbYeza3NIYTUo5F5XIIRrCEfswjxcPTsS/6Qn6IAyvu041MqOUUh0k7Krc7FTHlWnmlUiEM
l6waHiWfZYhQfjpiLAVjsrbGEib7GFa7jPiRRYNKpu+JLjVJP8RxH7vBuo9hCMK10Sg5q3yYrLlL
Y2elcOLtMBp1ubKLJK7cVd7YFs//ckInx/uyOFXqUxu6ZelXQkpI1nFbjRXEJyKaH4L+U0QeZakG
21mxqMbo/SIiORWbOOpnidG0SfBh6qixzvNMziafdQ1CFV/1jcEEmHJkEfYbVWW4r9gONWo4CBWv
jBHeSawldYC3pRHp8AyiZ3hIAa6A/0nSYZZzzlQMT8JqrQpQWHniRuymLJELLDeV1tjD7fcuGWXp
azfirQUEWVu2n5s4b3UOeVnRZPajdmJkOHZjOXdZA+liOheYWXgDxaXya2AN8wQTlTUjz0cL36Uq
m0XTdYg6NZZYt+zRhw78Msa4G09VUVp+hbsV4Ts+FEacJ5wFivqsVyMeX8iIQBa72RNMtcIjZWzN
gwua8VYYLWZN5Tu1TACO4hOff6M1T46prSvrfCdqa3v7nZC394l4dJJj6RQZOkByEDJfEy0KXe3r
nI4YdOlMOBDYCx0aavscwXholMe3QJmpazDV6mZsq/AwJ2oMuEeSqBvFqcpaAyl1TpbiFqfAvtLK
R8wQdMpLEJIC7jDD9nroqAzt8qvaStAU0CDYte2YIke3Y+kXJhc9ORhbN0IzewvtdnqIIEkhH8E0
Wqy5TOfBD2KMIIqQVPNrInCJ+HIEaSmjT5OlWdu8w0jpLN7tRJrasUUvMcj5KURXNdohq0Ixu+om
mru+Fag19RN+MSk1TK4tm+dJfDg5XA7FfmhzB6173RrotIpDTMqi7oGv7qRTfiUizDF9au5m8+Cr
LsB0rRHJzA90uvmDdaGLjzS3Z3XIJj73P29FGPWf2jRMQ73JQxfPjUpKQnqQ1KMkzRHdzhUd16qR
+zuRq7ir0J1B0wQPwQpg8PK40AnW+Y6Uk7A/wXOL3W5VlFaTa9+uwwAv53GEI8lWTVoEzWHalyW1
QbNWUXsoTTirc4v1Fd8lYytid5PAWRzGd1TV6WAOGmbsLPNTxdKs84I6tJpDokiL+6OmrPEBp5Gn
J1nZ4t8x66X4wm0wlpZXIpJLT7qkCRAI9FWMt5MoNN1nkQeDla2DcZrnfq9gyuPNQEsHFsatorR1
12mGJTZbD1YeqPoQrFA1DX/bYohhb8LUmCQ52AUTcZNGVbxpozQ3xdXIatSjHRRxBHHs01udKY0L
7sargz4Jps80ck3ffCppH/XioNkOfVBhDRHRYpgSjAjUdc3XYrIJrFxTsVl8ZCjmWWMLNU9xhKEQ
hFsnPSRAWmceb6O1g48KExz3lxpnHFueTichvuCUowQUURXpUWTHtCAV7hAjmfW74yDpzwtkG5zS
mwhPq2DT5mUVOIchiFM8Yxp6+FpegB32mXVQcpaocT8gCRdfsmxMTO43aZqO/ChLxKxPDes1QrAw
cRuYSiqCEWtePcLSxBtE/7PwWk0J5Ou0boJILE7zEM2xDRqj/LuHexZY7/qgrip9omg8x2ymxXJ3
LJOAiuYjG8tsDNZDEFtjtBF9wdN6lRsLuQ5PksAVX1hICYaDxVAB/MliE0Yl8mxeNjIezNOtcirk
U1ZbScaNgatOta1p966feBbIj8nU9hZ4/qmp2XoqSiW+wN5ifll9MUECMbPnMQRFbsH4T1k1CzDV
8FfhWavM9MUXocaoJF/ZkIr0RAhQUcGGOaZurH96TeIhWGNFoyn36pQmpeW7KZHVZ+WyPmku7LCM
w9AP+Eij4ayX8G3Ka9XprnT+rgO3ruz9Kmm7TPmWM9XJ54m1DjMekiYIOLyGEAOfEnkkBdYeszyL
leN3+NKSnSd78BLDajeSLZZlEU8QD3ZUjPOwbs1Nmnaz/VNjOFsTeP+z8uo6m+/Ib8ObIHbm7zix
LdwxhuN8Y0Bbjju6Nm/m+9OggCqH8BaDk6kZSbGOoaizVqpsvrKbsvApYYlAWc6XavgB4stsTq3Q
r4axotIjTmW7H9pIhr3xejtnAHqcAuUc9mU+a3loTQzSr8ES4IPBLWsOy8nG/Ga2BYBt4IZ+JRo8
05fdi3ilsKSVmCrW+TZiy3U8yWTmG1v2MdkarCRt5yeX2AuE2WClpTX3sRIVY6sszEoTeFEpWuu8
1bzAmJseHE73Tjvh7MZFbMA7ZJfO3WpvFc4yyGZFXsDbWckLZyaZVnk/zHNSBpOTaI9HdZ5l6yhO
oY2brUCQXZuNXoIDr/BcVhMrPoocmkoXm4Z+FswuAnrsbIZ9wAy+pbyJEIuAPmpQEzgkhXMeGSPQ
axmGA7ShNzCzpcVmDUq7ZNauTpdz33/++jlwfRDYzq8HC4/qtvnsQgHFfRzbVe1grL6W4nxnGmOY
p1n+3IUm/fxVyJc+fhWzsa0e70K+FP+KOax/QB31blK6AVzJuzliJ4MxflkEjJ3ifIt5disRzaC2
OgbChlUMkO2M48/78phCQIkL5o+Lg4JdATIU83wR0gYddcYGqneOLYIwY5qT2R+va5zguJ4MXOdf
yfn7F6Jqc053uMpBjY1acBZJVNkkzezgrEQqQHwJE6z4h3JMoHs7zf75AMmcqLgHdh7hfIoBx/ZS
5ExsRhcvHNKYhXmTirOdxeiRYMAkGgUdOd8MrHa7TVwEU/Wx7ekYr7I2n+05rWAarHpiWIh+0aPH
Mx09Qig1n9+DNA4S6tgY+xj/UdlWL0danqVbperh10HHhzYJYNe122lAELF2hGYqisUBroUVzR2J
C1q2k9+ViOw3HMltbnsDTMvow9SXuB36EZATPaLEqfT7qpm1ptia2Z8PYsEDSSShMAiw03Mx+/dU
yBBpy4kqal0Lq+rw4nCS88RJXTYb4LwCrfMl4TZcoJ+/97HsACReq0B5OeCgoLNLCqZoRyONRd3r
ELEFskadXaT1XxELnDz0+li3+jQP8Fc/Gi+KDKKvX2C3UF28HmoAstFRwA1/HGAxmULeacseInoN
4w5F9XlvC365XdK3tlxbxJBjLK5je57Utj3Bakc6hVB+LojHejTPaAdFTzglet7d7vCl4jZC2/GY
5MFVoKacV/umLLJgXFtBVsNVGN1qdnR//srvB4+djbONxLFT80GVi3kbyShI49GurpnokUDYjERM
JNnwqm8xfbULZvBL1ULqWBBvF1Njj12l1p02dtH/YiKQBRkHASBDCfoTOQCKqGupRaGC76CKxvqK
fYYSbuLQRLPflg0mwt8VafuYTczXWT06hTcosOSlh5KEqD3PCoSMfm6RKj8HlZvBxJXcVM5Z1um8
/vpzmc2r1r31YRKlaza4TeyhlkgPoQLjsa63feBWdjkNX4etMtoglSAse+vhDhWdQywnmW1+3vRm
/tBF2P6nwsLWVJzAh9gWrhxlyJo87oZbOghxa2G+5im3kB6KkRiB49yNdgM/mAYcKaU6bMHoZjHP
wfVVRVYRfuBa8UyelxESOXNSaZzd7VxPaXfEsFib7Bcc61xLtJAXhCThVLgOEP7OCxgokgUqn+jX
OnAEPKe4qYu0/QCfWBe535djic5ZMutwzcArB+/lJtNonfdFERzWqkJlkJ9NKK84At2agyzOlS2Q
2GhR/pOeiUyFU4ZQWA1gjh0rHsH4w0lL8dREB3C9fqGm5HEKBhwOElQ4kNKZi9/wtynIwmLkdhMF
8VCoKztGnma3rqC4Y46VKprNfErvdnnm2xmrHIm6nxQ0iJciFqv9huaD/BT3NryAn8/LXYbsfmri
783ggD+sxeDxZ6OGP+HweE7YdpkbqaN6v5ocO6rXDh9mS97iKI3W/FNPOYyBb+oQSQ/lZcEEGsdr
eNiQ7AhuNDKjoW+SApTse4eBFLQ/ZAEPQ3Mwwmnn5iQYdEKG0Q8ciPrvuiwz8BNV7LC8XGdpOzmN
bxtb1NnKRWmWTt/TgRgqPqjxdiVJBFgCehrkGSmH4ySMOoVMZtsJTUBWxsigHYABkDpbpVZcQId3
kYO00CxC5Vc/O/UInV0ovrj1L7YcQHIrzT7KHPhU4Gxm/7zvHAsmxDguAvjcaSFuxD6ilSe0Tuco
y9oGHQUmFnCzUXY2aS+pm4xMXl5XKtcrUcg0br07LrKEPxt5uwjjNrRBtrSHfKfSnb1rWXagfBH0
J8JZF67BK7ME4X73zu6dQId+OmQ4tmQfibY0Tj9RxKOKnoixUaw4jIVtzSxd3VWYxuOWIFH9WNNy
FSVthnwIqFGJ9J8XR41rAt9qTdjbmVdijwB3PqhSFbJfhyXK0MsLPqpuMhdIBM7GEMGZ7YgT09TI
7l3oAmmgcIV5DlO8iaqSkNjPCKLBf0ZwQrX7jouhd74QPoyNewI+Oyg+5krFibOO89qyQVHhpMOh
8VE2CDu0zs0IbFf94EzV6NkWKMPOR8yEYhR/ZGPQv09U3dSTB1XuNWgu5VaWP+jIrveZnTb9V2Fn
yRitAoZIOPcymWfVXzkoUav1UH0oEabsYuMStiQU790MDlW8yaNUoCJkFwAhIzUHcGPezN7gdmqk
t2FaLtMEXEql4E0UXlfZIiNeVYdGohtOkqDeK7E6dQGDbtzzIldWusk0D7kXhWF/zkfN49Wo+2Bf
s44eaJtOh1k1dAegGM2ZrITjD4pHJ1I3qY1kTlddBJjUByzkpvagfdHXuCrSv0Jbm9WgSACSKKXN
PlgocL1Ozo/cwv5iEqhj3hfiveh1sZIsioAuShw3sRzYOja6PZ3itLHXCJebtTvaNMWMFdlVVLTn
KB8qjipmhUdZVzdrXiM3hEU8PEBZjVpFqnc/yiIqYRMLfa3rMlilURF6I8vzFQ9U+c6dnGwzBnlQ
eXnBGR7tjrnP4lxuejzy0AVR8rUaTLuPNSO4LlWS7icob5y8UcV8E8W2OS8YkmZeCu609ixqwk/9
MLmXqZVzcGxtdtG7jl7bTmO/Y7aKtGcsi75n4M83VVNj620sg49g9TV8vYaqa4IcLIgGUpCzzokj
vSnG3FqTOmvOahTUHc6mYFWP/8vemS3HjWNb+4l4giA4Xh4OOUqpWZZ8g5BsFwdwwECAIJ/+X2l3
/6fKfaI6+v5UVFRd2FImMwlg77W+tenMiWq18jwalrRgScaa9K21QbYeUWqYbzoIAe1MRszQH9qh
WXOLUc8/0jlKhtJjnjoNWTRFZUjm7sFZyiFgDNM50jORBUub6cPvtLhxGLly1jG53qEsagXEAbuc
HPrMWz/h9ghbyju1nDZBmWL3+06WhY75tqWkgZ4lvPdFyOWH9DxXBAAPP7TupiDPmADVsW0ad27T
iz5HtalMKbaFu1NsalnnPhHtZSUJNmJoHYVdaE9PwOd7cVJOql0gTHCO+sHlsGBeo2X95hvGLiHB
8rHazCU0f7/NazfYpIzWiVaAvsaLaEL1vgqHZskPzFzr3HDuOC+Sto5E7hkaflgjp5wCfdpPqG/y
wB/mB0dG/qCbdeYFn+f6RTarfFNODEEunXEFI0p0eYf3R3OSQgzHwnPNVoQuXe6zQDd9MW62++gG
seVwX4dXTPuWaGosecjg7h1FoNLCKJ+dwnYMP3Qau5tuI8rCDwwNXpTNOQNpCanI1Ddx6k1t3hOe
fSgPXXqZonHq8qjT8j5eYr7DRh/HRdZuyWEmU3OPGkdW0E7VSzCNYm+NI/tO2PhDUfayQMB62eSw
pXspwjXv5FD/WPGB7Js5MaZCf7Y+zSqLWK5CCZSC13PuN9Ye44yLvUSDSPI60dlLNs7ZJ3WCPneK
TZ92s9sPgxu8tMkEMpV1dO/jpCilk/MTGj8vj5bR3nhK86+bP4172hOGqhY+z6VZ/RBnmcOO5Hcg
33Bq8/iQwDEthB67PY+MekFdTPH+bXAi/kh3XUz1OwRzeZ+NjTqQtc+ehkFt51p3snIJtlzoU0N7
GUN/PikTLvejZupZpWn4jXKLzSGQq72E64DFA7H5jtDZnJ1KlmO7ODpBUE3HPYuHsIRuBfAFemR2
3DzFbhhr1MMWpM1LCk3zXW7p/IwDvz5gsSW3G/Fm1H9xu+szFt0APSG0mIesL9NtHSnudzXuttqb
7jm8sfvaTUIWoHb9nVo6+S5mE9ZQvbbtRmWhOaPIA/znDdNzTTdgx009uIomPD0QmPGFFVt4l9qa
wjJT3nePBajfb9Yo3NqsWAcHlaFMDLym9IZH1CZz5SNj3s95nwl2s3iivof82V+8cB1f+1l94Gdq
ODAtedUDKpjOJN3FZR1a10iQ9pRNIvhqPMDqRd8s/u1qE/PSBtbKfRP0NCyyhiTnkE0q3WXADbPT
0KSiBGARbrkFiFKm2TYkebfNmc0HysbL5GmfnFdPJvisY3+Z1Y3MgAHviFNkOY6hHO6oC72HZMzA
occOjGTVZEI9dnVrhwosxtqch5ZPbempMUI3yRjx9onVentc01GZZn8tPfwykw6PS+T41Kal5ieO
blX1BUlQuRTRYJi9hYzZ6YIaUj8vQCzXYvL7+AatDiPlQlAinmc0uPNr1EKWUdhHlJijGIVTPXo1
O9g5Tk5R4Pyxe97oygKbr076mTkF2Oz8YxrCqtvLfh1V2VgdmafMq3mXL0HdZypXHqt7Xnhh5p5a
6mVxHjRh/zCtxNv2CxQgEJ+JDPybJevcWAQKBttt0mM7LdFcbOUEyfnUBXNbYOQCP83e6nR3169e
nG0UH//ou6GEgDpwNEmrCKLhbp7DLp3LNe7iPoDzpSeshxTcQWHIGgxVSIDS3/AG2EQ+jPBfim12
EpT+sG5PcWI6fhjbMJqqGg7+LW/hX5Sda92B1ngmQRmnfpOgve4UOfJaCXACJkrWPFiApcRzMF+8
KHNJMXQsRIoh5BQaOcT0VyI89d1mKE0ogNlgP00M+Gxtm8AEBUq4xpsKQDNGx0ueNPHj6oVTgsLM
pGvbF9hJZ/yFyfdazF7EJiTTuGpEL/KolsRlFR8SkjSVCNwURbfEs7F5AWUxsEMn0/CjtvbrtjX1
S92Ir3Umoi5HmzA8LUvSVSxlau/j8PCxScQKvnQC0H4N+ouirdnZRmWFkGITeYIWV+TDEA1Pauzj
UimkBUzahthf7Tx8m2u27ZKph79eO3YL6z/1C+L0IssNh014n+mGPiWRUqpsLURY3A+4YXJXt8t3
Mgn+IOSo00onSX2jp3F6MlLPdWVcbdkRdk6d5N7gsuMwdbIMRtnvuGTR08h9UmVzM505i7zbgLvw
HAjQBFOtQZVkaIvKIGCIBJvE7DcXBICaExzCpZ9ZqStB4umiebrMR6EWlmd68V0hed0VYaytyDMy
MPTfgzeao45xcdUK9+lpY3i2DwOQIvcdjO9SYVEu+bZydcEpj8O/jXlfth3qC7wF9ohTp92ZJEPK
ZRTNa9fW5CskcbcDTZftJz8bdolIunuv81Vhh7h5Azz90nc+Oik0brskYN37tATzlEd0mt6pz9TJ
BJS5nCnXpUUL1+LERICLrn1YT62zBSaa0LsObcnJLqT9xhuafOWsJm+c0OXGAqkoIyGnI4WX8wpX
LODXPc2JnHa+vI0Zo6hbsTleb8LwW4hMj4+yfbie2i7Qn5NNvbbq4xaEAlyeKT6O0dhOhVatm2EC
bxNU/AQgdkF77CN57LVddNsLHXw2TTPzPOjxHvKuT5q04Pi9BXRp3BPNKqLjEJsgKdHC216h1uL1
aRDT/EWga2sKLij1v+LgXVSeeeliD97M43IWnXdoZRS8XIGeHdksN3m7euIuilz3aWwqcDyg80Ts
BrJlPrGI3sBTV2exgvbKVY2S5sZpIz55MLu20ND/bd7a3n2b5xVrBYsSfZoRsBe+W9jJNodVbqux
s/QECaMGy9i6DcV8EtkfmDdr2W5Imvkcrujfcg/lyFz2THpR5ckBeom/2egVSab+PRHWFVxTXfa+
J/2LWRLyBNs7zYDroYbL43lp+v2CouqE3W9cKiebpkMpl6H0BF7lTRfaLMQrDKMQU9bBj0SlhIU6
C1QMNxFyUUPThdzuarBUMht40XEUaaq6trG2YKtsA9TUdGTb26jNyO+CiSy6RFfBOLa0LJ42UShi
6n7de37QjeFdbChLc05kSz96Hw7eWFgvdR3bwcnmzr/lzRRPWYFu24UiN1szaFMkOHCjtWxgLKd9
bqCEhWs52pUN/LymDJJOoQ0aMHHfW5DkNHeQyDKzU0bI9q2ueTjV5YKlAn8TkDQyCLl1cornXY1a
bTyaxnjDH1pqZ6OqAZg4jFUkYYI/MR8JMbsXIBjnsVRr6PndfWcEx/cQeuAYTZcbA3PO5k7h8n8M
Xpb4+Bx1N66IJDUueotUFDRPv1wUT1ydwLnPrp5FQJgTZ2TLr0wNQJ6rjYh1uCXf65D5Lt5DLd2w
3iTRWftuxNJ4TT6my7p56GxZt8Q4IrAdz6+mgaCQ3swoKN3F7zJ/DQtTayP5foPtjG8LR143dZ80
NaMdyqifzTqeqcHlbTke+RwEugCNRgf2ROdItHEVT7Jp6ck3Rq4TAMF2Ro2D3qGWOyHSDvuxN08l
Bx54G4CyROkuMuyYa9aiiErDfTsnw7oK2CMWFkdbgHU0/RJW9ejCtq/EAhQug3YwTilydiZMK+b1
MYM9bVkmTE5CmYVVsm403MOQH15FavoXD9jbnAcTMgF5aLB2KmBgw3d/5KiyoBw2ildTrLOmtAoA
mcu3QIIK2GKz/lQoT1lb2/vIR2wNBk17M/mMFjyIzW1H1nWoBB1AUdoMhIbw+qcuc0tylCjhkpyO
Yg1zNy583KvZB17sUrGMMDYs/y42n3FsreHAEElLQ1POdFsfdestDgWC11eoQNEhsk5E0V7F4TyU
bEjdp7cxt4qc1IskjylveVTiGefjN4UB+SrXnUVrMG6eRTeiOtJUKCeUPpgm4vZ77bmr4oKKOhiL
jTf1Dvi8Zd5uMCQFNRfIbCyYH05TFa6+PhA9Je+97UMIlgkL6qmAoNhG6FCTVV+GNPZNGfiRmd/A
JIFnAlwO/LUAbCUtCiQSAPiDuHWp0XkPeShRh986OOEuXyhPqoTH/cmr9ZTrzSDGKQC9igFMVbAa
XaZjlMEr9uZmD80XX0ziai+ngF4PUvSyKwwEs88NJBHuDZY9GM+fcJ2b2MVEuPsVX3YZZizNqg7Q
0w8PVCHEw07UNx62Yf0VzeXSPCTdoK5VFw3aAyqY+KTCJGo/sUXSdU8Ro3ycFspuwS/X32tF8Mmn
y+bAkTIDZWTbWpeL1l9eUheZ+0X1DS4B6QJgG8kwYTdNhiZ3PMoekaskSZl103IkEC3acgG09mWh
IeIdEdfhYQy7Dtywip4kq6fdHIz+W6w0ybMEgHCj+u0ppHpbc3hH6wVRl6AtA6MtDLF+FDrPWpvZ
Yx0rYKN63MBp12xxeLtZf2WW0A0XYkzWYAfrFgAEHmPa6rK21GLr9QYGFWYWCbhfWmuJomBc9S01
wtzUAbFp6Ue1SHYglMTz4pIZcYB5xFUC00m+hqpJ63xAAX4nvWvFq5EpHnPU1Gubx5xlMBa4bJsS
B3oHJBJyyf02QAHIt1iIuOIW5GtJESOtNunwM3UEzhU81yBKS8Ufi27GKmDaFcscre8Jdgt7dvOo
RNlLmz7qSM0GLxdFEg1BCxVoCKZb2rPgnDY9T8DvsXXIFWHZ2fOa4HPtW35yntD3gGi7AnBm8AFH
wYzVqJNsLdpId6pAFrhdS7Osnc57lc6sMk2b9th/Fe3PHQnWaDfHS/TqsUa4C5QrTiEGTMOa92Ig
720GFCkfQEhdJqBffpUsyKcVWxYoHJnMj4ZqIF3zzCOnlgLnJqo61OdlQ5VMr59bfLfQBTI0Yrns
kvYDfZPAn64Juv6d6mF6U/M05ZjbAO0RqHORZrXFLd+r99pb/Bq1lfMKD5XHrTKwRjR0l69jbbyj
6rCoS9Xy5G4283SaI4kon0r4DXSB5OAxP32FYtwmuA3q+BMBZ1q50NePVq3BkWN4flB09ppBXUd/
ANM2QuJJtE4PmjZjXG6Zh8JpaDO3H6PA9o8IMbWlgrhVKtzqYSFpZCqUL+Q8rlMDaHchbw1b3VvG
ZpILbXzYzhGvhrRnf4D398swCueXFOX+noSMfE6Ihrwh+bpGuefwwQXUe1NDmN460Dd7YWesutR8
IDkw3wuDRG6ezpNPsA62+6z2OCoaEg57nAdqRJuhaYkY4hkqmnezyEB96SB2lKlDoyIRZt9y15Dp
1Uv78KlraDgUIVT9oxAjiaYcCDSn9NtqoP6rigvoQeoTBxQfbAmjm63JGzraaRCPKtQIW97NXSOx
y2vM9AE0qCRiaaB33NoNEl4DSIDpLlzBuK37JXBXs5dOPjzQo2+aoduOSFis8wtr3RJ9i8Zw4odu
Soc5LFio/NkrUxuFi8LmxYGZJcMAcKnLSBv7JYhYsqFsTP21LRSPle+OZnVQMfM4cNEuDMcl/RqP
49Vll4L3rsc+FjV+VKLOA0BUemtc1yDNQsCPyAmgjAfuuCKihkWDfEkYgdFuxPTDl96a6BK0CAja
Sotl5Q3gubbmwPhEza7pDtyDEjZI3dWbLx8sTWe0MC11sVKvU7ow25UgJFL0fRhi3bru0nWTNlOp
FzyznFS+oEbLT8M3S9Ycv0W0a7FMIUqyfBMNdoYDg8XcZQUU6+uVhHHtZ/2+qZ1N5Bfj1VsQ5S1L
Of4MIZUkdmdv1miYz92qWR8Xzs/SxO7+3p77K+YA1zBBpgzW4ZU2QOT0mlv8MyIEqSydfcR3fgyT
uBoa9hfkRaNRwT3WSRMaMJnWdx4SSG0Hi+7fvIG/4gXXNwBSBoAB5nrAJYQp9Nc30EaYchDVbfKd
/3oDwy/0auBZjzvOm+CL/WdOKZiOGOVDnMU+oWCioLX/9SVRlY7SjlZ8TSCvXxG1X4QozlDspQXZ
kquvh3XykzP5RceZn1SqAIGJP3LLTMHPgOL59+jDbzMnrm8O4WogB4Tgw4Ai9dsXAqVb4/SbxFcB
plVBEUa3Ht4GpKHrmWoQsBLavO231wF3+ZrkplGLbAoYqkv8WMuNeQfsPN32qq4SyyVFngyGugvt
0Gd7bqKrkT1ptGrQka5t26NQHd9etz6+htt80K5YCy18aljZ05hdA2i/4nvp4BxcbhphuSOotvn1
nJYCNbfeQU1y+CkOdQMpT/nz5bO0vsYb0gmBEIQP4UninbceWNa+mEU0IISlY0Sid5lVxKKWmLb5
RikOn6fvB4XQM2S5wR3qEAnH9zEdWfiKUvXKpSYp4uJ/WLjKSGr9/XL4693489NP0LZhKYTXBNbv
Jjp2x7Em0HS/bgR5Fug1gZ+gmFmmbuqP1MgFi+LvX/F3biO4PqwQ2cJrNBiU0++vqJWvm2WgyztF
0YmbcTHh1RsNfkUUYivh5UOURx8ArdHMur5NflmPf/82gt+vnCbIvyVAfDAROUCI87dFsVHIYtAt
h9chHIeZ5vNkIu8HmigJbqNBCUcqxZKpvbc6vaL2ookmxAAwzsJOOcIhS4/WJ6jluQel/OSQaUnX
XC8EWck59fy2kNHmpjNuImg8HSyCq1PFYnLFIrCj28fJNjiejqzj85WRsGAa7zAcKxFrTrmiyEj+
/RX/ToCkFAcLwCxcNa6Wkt8pIx6zZlykTl4A8/pIEkOsC9ZzYDEgA/ka4GjhoSHLNX7qQLvhf/X8
M17s4VC8rgrTwT9/QjLheksHsoUXfGgFjn7AJBIBQrKTvb2mYLcIKPlasmW4BpvJilDDq0qIxDL6
+0v663eIru/KO1JMdMDkV0LS36ExSEVyxpwSe2k0v+5h28/QgNDRaB5WLzUhnu76dyTt//Z6kQ9E
7PrPdZTpbxupcwI2hW8uuPQrvIAJJxDL/AkU8gQjG49l+89eD+uSYGIdTgpALiH5fW+k0PLJaNvu
8gvhRqDkSi4mvAdDOmp5rVv+/gWvm+2fyBWcSjgjrs8MQXI/RPr3t8MJSoVrFSq/QzJ6ikcFypeE
fo0V4NJ/h6v+60vhq8MJiAFHSMUlv1/bwIJhNXVcH34xfjZCkhDMZSCvKuTPq/q/aQ7/bkAVTM4/
ff//Mk3lv0GdjfpD/3kCBPn5M/8Y5XB9xA+YNsBtSM5gdPn/jHK4zq4Cy40RAYhJg5WMrtPk/zHL
AVOpomt4BVWWHyDUnGAZAVr6ObAKo1mwUKMMXCFGrVwHMPxzmsz9r/vw7wZWAQz96/2K4D3+xQYA
GhCI+78UD8gAB6EITHiM+hRedYStQI2z3W8I3Z/6WkaHzZvAJE7Lsn4HBJLcRDyEnpoSsjxOkwEI
roX30Sc9lMwozC4bwgfPcQf9Po9FjAkMOkwuTW/149rZ9nnQEWgLY9vjUMfk6yQYAkZd0p0wTasC
Byg/re66g/NS1eZttzhIQkZgPJHgXtGyGoQKczx4wl7BT2jbxjNLaL83VENZmcfbKQraIusZKv1u
aE7EatiK7YDY1ODFtAy8OjkhHwU8gfXubhJpvxd9mt2surYdTBwXPDjPZCBguH9L1ha2JyIgNrcT
lbsgIf2eTEH9RrI2uxCP3xMHJY0F5BkSz1SSGPrDKKGg5z527j/oukK6GNa4SIkdg0INagZFRsKc
dNiBgENC5VB9a/ZR74vv4CzkjiokbGWr+v1oJv4iwy7GPonpTXsxuO4AAAk5rXCBP5OspJhJYL5M
acvQCDfLwzy127dsXdY3iI/0oQb6coCVqC4x7dwDznIk0aC77OAMmTMEV/k5UONKaODJTtje7hPC
cRm1c3nIxx6BygUwBA/Ndy+jeauitaCZOINoPoaIZVYGAXEkDqex1BG7HbgYjl7qHaFZ8BIt4/YF
CJHcS2mjP2pIR5D35ha2arjsEavE5Cwwrvcon7dgl3kdPzXoW7yKbp05g1noXuu1zd4TGeN8RG4S
7k28PAm7yOeMhe3t5sf+7aJ9SNEGdtwXpPb1TWf8/gkjgcQe3XSQ5QtS3IfI9UmHMT6UPmwrZt3U
dbjt1iSBG+eJNHkE2Eog+M0yLVtN7ZVb8u8zhXtlqueYFd0W9t8MDq8Lw0CSA0Adeo5n0e8B7EKn
TpP2TSKBexlrET2g598OrlmhS3uWnoMluqZ6pvoO+T393G3XkWOD7o+DZ45iZFdPbYzSSyBF8D5i
itKtrEN+RJRYHLquh+44wGPaLWET3fViOQfNEuJ2lOrg+TMUnRozSA0aYrjPnFSBYMkHGIcfkXTD
sV4FnPd1iI6TZOEuSUVarskYvNKQf1sXKmrUzGHwnqTj82Tp9qq1WKFWjv7D1MTxCNkA6TPMFkAF
duWcL40lESkWhLw+gFh090nNJRpTSrNvaESb/WjxQ/XW9i8pZoEVlnqqglo8nLsaX+JCaXuMDdzR
FBHGp4TqGfo8yvl85uQZszuPNXqS0wSRZETSoQBEOYyITHX8ASNE+seI9Yd4XeZTzLbxCH0CvbQw
HPpHRt/nKWuPCdJqO7g1skz0DOdvdN2j0H74Y4P7UVDeNcXWALCCKM3fQDi6l2QU3oMIhqnAF5og
CtdwoCxQYO895XZLH8uzVJD9iizbRXM37DHNzL+F8tHD23+wjNk3D3NeENan5KHzkRsdMRZEF/3i
28voW/WNzhB/WeiXME6TPQwjV9meGK/CnIX0bcZQGpELf+tbSBXrhCjZWt9teuJ7z81AOdc1Sgpl
XXzVAZD1qoHSm3HTEB8nY9Iyy+xLva1hl/c8g6Coati/nm77HNyEf65hT9+uI0PylnhvXcBVmtc1
9LC2z5IcO4BfZGqMi95rv8Dl9Y+9D6Vv8jvM/+v49NkjxnhmU5M9RNDLj1pHbsjBtMwP7exxwJdj
EUG9/YjB9u07P0rvfZB8cyFQhVxsOvlFyoatz5E/jSvQQdlrhlPjsgEK/KLSsL0ZNvs1w5COA07E
rYBWaS+6DlvcSkt3o7sYicrVy24GE6r7uWPytvMXCcmy7WFLD6KaiK53JIPftWHOVxVpSb/wZQgO
8YyrVCyddo3rgh9IgZjbBVz+R0jl9XABj/TWDH37gkEQts/jlmc72mX1Hh4cPJW1XgqPsOaekPaa
zoM0ZGvpnnyDj35soq1c11lU2gXpOb3qNKXrp+aOJt2CG40sAHjDCDSYb7b9WlNM5oLpe+TZJl56
AwCTiK7CnIrtnlsaVsIiLoKxMP4GX8AbQ8ALbhfLyV6IrYNTRmr+FcIeLxfUg7klOG5bLPEzWHRx
QBWMORtcquydx3FbDuPiv/VMYW4kKOojm4NyDeLofjOd902gOj8JdFg7IAP6jrRjf4xCD5FQZAQf
+nVJX+olZTu03/5TY1v4TjaBw78CLdnRJlEXtcrPEUL+N38z2P6NmjcIzC6s92DkSbmhGM8D7Z2j
0Q9g44xwu5H0u85g8nIyGhB8A2/9B5TsCmd/19XPJkIhkncGtEwx0mx+kLXsD1ODJZ07kXCeb1rB
eUpYKv/AgAB+tH0T5Gj0vZsW5ArIn+He2pEf5si8w36sc+y1cAFSDAz55HP8Dojnw2fmj6Tf3qEw
PI4EgjIC5wKvJ4ejgrFQKdk+B7IWJ9EkybMVPHjl3TJ+w5Ql90Ux/KAdMTruI27XWfGTqHEV5iSk
lnbe97EDCXaLUguKM0w4DOio2mDCTLp4apsbhxg7pHhn0ns5yzV+0zH7A9PraIoxNAu+OECpgdh5
oOsKNvl7ZObFth8gRd62QnrTu8AGitors0g/M76THOOMTqnHFeTELgDpQ/mZ1Ot4wgMUk/dojeRX
P2F1d89c05+TJiLqGeZSw/b9xvttLICewFpEixp139PGae8lksxFFWkwFgdAKyCro0xaWo6ev+5V
No07G+svGoHTXLm6LzGbCZZLHX6B0rcc4lZgDscwmwv+pttlSGEWwIlOrQpvTBbAX/G9Kco50LZX
GMzeAbXIy7g1fdWg3z7hBEHw3mtr0Kk9KeqRrBfb1PKi8G2ethlJ6qZdPq5x65PKYi/XoWf2ZHQr
fLpruQW9w2A0BlXntj1ytkNqD3NHJjYfQCiHBXKN7V4DKMEEzPBh2BpddtKrj1uIITKATNlJDUF7
mn1wmKTHQDPAujcNi4FLQdT7amjcF7DI1n0rbQsbSWcViE9WqbafqoWFwkGx4jjImABfhq/5YHwR
5HMfDHtkzfw/QgPVuxBcgFLKIVuQ73E6xukX7Zsx0d9MmEgevTAJ434uWtm3GKDwf03cz2HF/6aJ
A+ly1a7+v0zxL13cn54f9D8D+f7xU//s4zAaH1lrxOt+dWP/GIeZ+f9FkVDFRPaU4LDGf//cw2Gg
MLKkIQbAocu6asb/7OHC/8IXjJYQDRweXIHc03/Sw8FM+WsPdy1jMecNcgPB9J4MTeFvogry4F6z
ROMReShNAAJf170FXbCgeJ8HhGxzCIDBcjMH61oMWq4l0Y7uMdMmOUB7bcGgMo0JBOgSL1qG8bPj
Pq8Q40P7VscaEqOiFfo19wYxTspypRH9yLBGj4Hw+8Jk0VJIRNyqhCXfgW/NRwxXq/cRxiKDCuSy
IIyj8Npms1+t7wOUoQjnbwg67aIGzl0/przPu3V6C4VMP2AkDEdwbdvOb+OdAfFW+jAUCoum8o7g
RD+MAP+eg4ZiQq/V4VzDYYynt4YYuQ+st5207QFE1JDyPlmKtEDuBjju+aDq+nZSMJ94N6c3rtv8
R7OooBz75MEakt36HUrHdKjrr32jrzUvt4ctMbbkrWQ5A1CzVwkbD0uLLUXR9WESU4LTIxh3sccx
2ROTP+/GJDvVIy+jyfF7L2WYmMwCDhlvQa97pQUMl9GT8ulYLTL0wTiFIUaaOH00evOAFm/kFPLG
O/V6FBUP5FY0XreVGsmEWxkj7FghUeIBJV3MM2lFWGHmRXID8Tvah4IMO8QqIvxWvT0IG+jbpPVY
zk3wHLvBfVu5iSucGTAsEq4fNmA1+YKZYbvYTJiCINz6GLZd8mmYg9++foWrrfdE0O5gUIns4UWw
V5u2067rWPwdbgFfb80adLc1JPq8T4VrCuj+Q5UOPcYRNylMVThiO4kNv8Q4v6BCdDTIoQODJ1tV
9vn/2Duz7raNdGv/ImShgMJ0eQjOpESJkmXJN1iSbGMeC/Ov/x7QSX9J+vRZ3fd9k9WdWKYNklXv
sPezEYwNP8Nh8rY0HqPr18EiRmLe/iinQWXnKam+RJABkCiU07vGdspcFbOl34EN6E9Mio1Vmeu8
ybFH/VeFLoA3I3DX0Zy6x0C3i4sp+vIuG8QXQIJVi6FD1nsoy+njWNbaEVxWfzHyxjvJOraRQ9Br
N37M3sDZdxp39BYl+4yQjY1o6s/dOBzteN7CLoS2A57bRPFTub4h6jBa1aWRLyydBGsAoKaVITu9
8DOjy9fYpXuDWyd01gpEJJM6KNKaZu09q05XEZyRu8Y23susdoJzjSIwOlUi+2rjIYW4Zu0CzRXa
AQEWjuJd1ppJ6qx6byi8zxkISLyhMZgvcz+qB9UZbv7pFWYwn2XBRMJtuy9WNZoPjcv2p9vQnz/L
QCUbr+nEJszQbg+lY+QsilQ2ravIrq4VXBhK2Xjqwz01Y4rLADVTOq4tPS3aaA0tt3SOhbJcpa1z
KzF0al+b554jVN8GdlLYzaYMA/1tZluMo67Swvt6cnLnK12CUTcbBZ/wsRi9LvhOXc+1Gc/eihNu
FQmpYUTtyic+uVa6cuEdwb1qpEj9sc/YA+itl3w4qCK0vVv0enmwymzQVqXbdem6xyyKrn6MOnk3
hLn3kqOXfE8FPnxQPZMIYd+0Ov0+S+yHonXk90mabbozgrGnmJ5qp1j3WuyBlRJB4G0KC6/Ras7C
Bl30qItnM5yxl9KVh8yuhypmJSt5xTYNMEQZnsojOBhxggwbCUV5cdzJKG0fClJktidAbpa+Lste
w14xslzWURxcxt4et6y9+b96xiSqsXjGSLuD6TnDbHRqKDybVVoiA8dC5g0QV0z7rvBkfUhjj+/9
aAVrK80knMzOdHZol+jGnd7dlSjEHgojO88hLi1kA1Z5HiMrOgUVghj4OziTMwlUYcWgvKrXHbqn
VZvYxtF1mh2W3GT5riacX6Edb/CJmdoWXrD+hBg92diGmpGvDlgPba0o7p2oK69u7wCctOv+zUoC
AwW46Z2odM0V8A6xRucY7qDh0DTMtwYiX3oJ7LMf3FHLpEra22HpOOJb82EsfUg4i2A76on7xVq6
FLn0K/rSuWRLD1Mu3UymTfqxL/Tgc156nQkVP8yM8MDRGezxT+uvqSPiNVYH960XuAOo1eidkqWL
chhBwVg3aI3rMV2z7U++QRIRR2vpwCStWLv0ZOOtPWvNSFTA6OnakqV/s70kQUPp7RQyJoB/ZXuY
7J7itCnmnQXTmc4GC5WPArX3IaFHF+a+tIvN0jnGiOw2nmEiUGgwWQ1LhzkuvaaxdJ2hQf9ZLZ1o
v/SkculO8Qm720qltKyCoRBHI32seWtp4dNU7+Cf2zvhzOJH3xklMwu64FQEYm8vnbE28nrG0i1X
S9+cxBUaWBgU9+nSVXdLf00/1zxAIvHOriOQ2UWQttNoBKVpIg5LS2v2LSOz9xmNO8K/+DwtvXyw
dPWYMTx+E2VTCSxNf7f0/+UyCVCQ8qlrl/mAtUwKIHA07y7Dg1rZ6doc5/axuY0W5DJlyD3lPS4A
pZNYZhCA9Gikx1ynYS71Q6SHX4NlZiGKXKd4cFC+axMTjdtwQ2fMMS7zDola+c6KY/1k3sYh3P71
etTMai1FxLhkFO0XONzspDsV0tNLZ9yg+2FIeRu21JYOJtvDY7AqQhzBdY4v3F4hnxUhwxV9cGl0
+VKj7l+XQWy9GyPOm1FGybxy9ISTgN00Lh5GYgDTnkxoYCFXXpjDsn9W9lTFj/+t7/+d+p7iZkEg
/+v6/i5WVN5N/Octze8/9Ed5D9XeYwPjcDKwz/4H7t6zfiMzzvCwdfAv/xEfwuIGagEoUdBJyAx5
8T8qe3sB57Ph5xcAd/kPK3saib9W9iheHeyuOusheCKwbf9W2TfCTmrYedGRcocZSpaFNgMVeTtU
K1v2b3qYO9hqrPIaYym9nwda4drNdeEXXpdsxHJOJy0Ugk1jjOkluh3kHNQJosxmN3rondvlvOd8
5Oi33JFDGq3fAmNKB2c7LfdEnw3lWb9dHiXXSLXcJ05pursc6+suoObfydvFAz42WKsutZFgR80h
XW6oTk3BejGFajitGJuscLYaJ0jew7c0x/u+HmlWfDPqemwiRsvCAS9IWUs5IP0YUHfpH2k6l++s
bN27OTVxXDSj2274BSHeeC7NlH36ZQhGN0QZ7WFbjpifHARt/j5tDO1z4M786VSxdzGTwj2UQd78
CEcjqP0IaeNDjOd415pmc5VKDkeKKsrLiT1x7ptMDSm5daChfKdxFKEX1TAs3Yd6EZ5UNWufhR0S
TCKq0rhHuF4cwHq+9t5YX9n027s0cvsvUdW2T57XMjbNtLn5AA4bvjYAWz3WbRgzbTvEmz8XSMPR
VjF+TZ0Yf2rcHCLLSx3fMETzXk/j0PmGHL7aBlZLvAfZRxa37d6b43YrZBx/znqXnWO9uWhzaB2R
qWGqDeb5VAVZ7xeWo7bO6Cpj3TC+wsQ2dUazYpWVvrLKYlLGU+r43XJNbQ2FPBSbbuA3ZW7zF8UU
uFIi6EB2Who3ph7txjrInstCRl9T+JqpP8BANlhBoLzObSsR2JEtBppcoqhzYz57h7qR3V0nvVn5
Xcm0ajUJzB8RyEgEtYi1/UEV0ZoQGQSi+MSGn3FioCSjai04gTM17yAJFg+xbbGboo48h005r615
6lYoofO7qtWSs6GZYvLTfJAUgxKV98oqq/AlYMNkU8CH8qMeB2wWaWVhNsgIsykrPd/P1UxV3jvQ
BEq3EKgTLO+RejryB1fbVFHe+xHZKnZj3TM27z8Lx0wPeoNzbkgQ5K4xJ087WUTjiSYXyHjitQVg
4CR41XI71I5BbdQU24UjvteDrrpVpA/dtZ+HMtj0UyreWlaWBVOvunsUNALfGmQKOEUH8U6X2fR+
P7Vo6wcnc/fSTAeWhq5XQv2ekE3n5ijBlUYIoDuMcy9mr0enWo/kR8d0v8BXwIfWh9qY7auwcL8l
6JnY1Y6Tfhi91HvGBFQy3sXRi8SdTW2GvlGVWzcq8ncrjLwvTSw/NOpctJ2NeSc6e/phVQyB+UyI
slg8csVrEnZK+FmTtA5vVtG8UVajTJ2cpELvWWLd1voux+5reeeIGJ911TaPQrmeZNfJ97nR0T6D
BpIbF4+jTxgNQ9QeFT2mmBjIrUeMxdDWx7QUuC51xdVsRonLc2Axyh6EE4123PE1r9J3CP7jK4MA
a1fGEMzWmtcGEq94o78ZaeRtZslh2ht6NflekcfJzmGXx7LMrO9TuejivdJsrw3mPR6skydf0zip
p1UtWnPgMAu6QxCOhbvsY6pvvTNVzV5qrtrj/sTgZOmTukjVaJ+l5eTsr0XSP0z1pHG4zBFUXi3B
/+lJ2W81N6q/2aRD/ahxkb3BMBB3poqDfNMOCjWUaU1N4Hv4lS7R5AW4z4wqX9vREBwiQxsA9uvV
E5yyCtKMN9AkNLGfZykq3MI5ymoCkFsU2aMXqWzdh3FwSFKOzRKnyQ5x+nNYWN2OwXqwikme6mH4
0WuumGMUvtf29qaG7P0dndcIvlDY9boEfYCpOCJXKNPd5EIvlPXdSWa1XbS+bGiFvs4a7eR+ciTG
w1cXngZQCmhcom1fu27CohqMDERAkNsXkQzBFltZc4V8r1/xsYYYpdFcO3BzDn04vFhAHa41E69r
J9h0rPQ4CV6Gxi5eWSy6NLZOMbA0DtMXZqkGhxQTkasLjudB78b8AWMSwDhIuH4bp/LeC3Pll/0M
/cNqcLsLbjtWsVN83xl4p2oXFMcaXXp+j5+IP66daluBvY8Hk2kVX3XPYHHfKPtcC/7489gad5aF
GQx3WRs8SbexD0mcDs9hp7n1ijl69MNEG3bBL9zlRBsQqTTphCvhrCZmic/4IeQv/lktIUzD1Fi7
sa277Qhp9Fsqib/w51qb96HIpm0iJ2OpWLsNIrBuk+Ij6NfdEvtktDPBTTFJUfmQPNRZ16ysGltj
cEuLwtIVXIc5OJR2YtxBvcADU8yES01LzBRoNFDdPM/nZgmh8pIZf73UnB0JVtolTXvSqgwW2I+Z
N0ff2a/H+3jUaLSbeqx4HRBNx2l2pkcq72HnTZ536EWnXuAEsI9ZorL4PuGDRcnQrEzkwjlv0ZKr
Nd8itm5pW53p1Y+gW5mIqITdOHlvYhMtEV1JnclLt8R2zY43HhQXY7yqjOG+IN1LX2K+hFoSvyxl
1a/xEgOmD0F6UEs0WGEuKWGwM0gMi5qIS1pmDMVQiTnbuE/Sh2CJGauWwLG0FfabsYSQGXg3N220
HJqYTkgpm4fBmjeo/IzyqSDHLEb4wIkduVF1Yu1D0plekGXg9/ngvTGrSJ9omxS4hltCGgKeGmKs
DVEJ07Oo9bNhtzH32K94temWtcbFz5MvjXl6ashiG1mzT6zZCGirPNvxo6JY9Afh8DgLo0xOLQym
fN+1WvRqVXDK3w1iggofzjT7pmaYG5ZP6a9VlBAwRNtd+WtNxUfWYGnl/Fph1WyzKHvHr2mqFZ9J
PxovXts5z8ywqmPNHqxeFmKkq+QHB3Okzwg09x32Zjb7Mw7An5J9WsJezVkWbOZt1yaXtZti/+ag
5djbjps91CLbDDLXzrw5BjxhFndF2tY/zdnq8ddUNZu9oTbdZRsbZ/umnNpH0xrSye86GdHzNfiT
n127azb5bMyP0Uy9g9D0tkr8b/f073RPQtfZJ/zr5ul/sveP9/+f1n3LYLz9yB+tkyTc2SXlhJbH
RWD5J4Wb6/4mmamZrJ8NDm+EmP/ooUyLRsmxWIDojHMAH9H5/NFD6b8ZBtYZVPY2+zg8NP/RduSv
HRSDFHtRZgskykuv9vfdSCIqQypTantP0+j542Sa950n1fOfnsnvwro/R/7QDf5F9rm8DFsLHL5s
raEv/q1Rm4VqiBBjqwmVUzwTD4EdrNPdSz5Ag/u1xyNMjhzN/+W1Fl31nyWmvBZaf5OEGdND9bkE
W/7ZgMF7kSivN4P9JErvottNfwfcDZDOrI8PlZ0zN/q//3KstP7pJZ0lSsjSWYAJ09FZc/35JXEY
WLVw0BPE1COMVuuyPQP3CUGngCuxOLMH70V3MSps9Q5LHnZbcIw7Gz9+sautsPOtvqel68YCc1MS
N3uvHCn8J6/RPwoUs2BAlLfDN+jtOMPiHa2h4YMmL45TI/LHLMWKkGlN+0W0dnFEMcSqPAD5Ekxt
zHwusQCGh0W0m2rsXHGoSDtpVf5oALv+ASxrfolS2bw4VXind1O8oZAufESA+n6mQbmTElGFHyVm
92ioLv85m3N5mc0h+UIflqyYKWZbq44KjHZ0Al1ZDHu9DPAtzLWxcxk/cx9OA5tzyAAM5tXJEW15
jx2UrTXWqnc9C7V9Zi+oh0Yb9vWEpwjxghegC9SM8lO5pFPZcz6CDZqjDu3gwL6c0narK6N5i1PN
G+iUo8ZRGEqnIRzUm2cZ1qTOUVElW4eNEwTCgM+5r0cQLVe6mRcfXeNUbwlREl8TLzWuHu4hGhpd
ed8Tl2yUFQx1BwSUMZUpFLl43KJzwnXHYCP6SKPMJXezkNmFebQLiwXH1Hk57U8T7u8Xd5qR3Adx
AzxigTglM9gl9kbWBZr5lWmhjk4zma4RqPCNEnrzRg5Qvy1Hvd26va1Zq5EQme9Nnke7qIg+pyap
1iEc5lPouR324NmK8o3i4URFkN3VWY6W0DS0R7rB+azPML9XahQp5Ite11jPJYG+0krg1nZsHVBb
yX0/FGpjTnF61ulOvofKbj9SMSXZZg5nu9hobewdeQSK6BL7s24zfwCXcF9krAYQIXzXzXHAxShP
gYaULE3DL57Cm1cH6P5QDSKWh7eBKXEooE+yxiNLxV45VXtKtEbiyG9D2LeUye9ASwN+sfPNDDpz
HZX2BLXIrq/BkBlnO1IP1jgMYuW6juSjzbdnxHMIp1VSqIr+x5g72tZqtPYuNYr5o2UL5vPOWh8V
jKsLGwbYunPbXmur1XyYcVc46vGms+ZXDVnkvTFHxsaYZnWvOfO8GTw0lAXTIR/bSr+dcvlYDPlX
xwxKYx+jAOsloo4+mphtxNTuQd9hWbM7AIDZanIrquxZJSxEwzyFy290U+pPNADz2R2yaTxkng7/
1ke6waI30DCpvaRqIHuBfVdH8ceDKFkyTMh8n+XvM1Ho724/PDtURBtPoDBZW+AggOME+AKoZnV6
99Ytit3QIwl8HTVJFg1gZgMKhosAdB0z/He3KlFxLZmwtgQTpMMcXvvUWlJrqrgP7+0aOBCbQraN
DyEUDSZdlV2r6OQFWg94i0wC682oYCux1CkCLdoMDXDWl6QbNGtbw8VzvjsjAAmQbsSqHNMJGGrz
RHkKmGNH2Ze+abBKn7w+j3eNXnAMl7lj7Xu9zV4cNlULCt4IiJDtbPMI0LLUV2wEh25laZG3s5hB
HbGH1GfKNmtv5JqOPC+dcPDmsyfYdpdsm1S9/GsnsIOnaeqGT9sooEsUoqi28HTMQ5lBI1x1EhRD
2mXygPaxOMbj4G3avEP0k9cBrn2AIOWJGRvzC6d3xFbYqkQ4GLN2rbzWL5Tujky6IhRS7L++jQ3/
q2YD8jQr8qRWUFg7jM39kD+Opqx+SMx6Z/4gcbhNoe6fqsnL5zXBGlm0IRq3PEBQ8y6ZFdvvWY6N
mnianlQ35eSP2oBS2E/xtxQ+Lhn+m6W1+U/IVtmLqbfjQ5YmNulSc14+hXnEGm4Z9QoOj9Tu+N5m
6/9Wgf9WFchbhBfnX5eBJ5Qx3Wc6/XmGTrW3/NAfhaAgtZK4w1+xsH8aouOBQDgiieemzHOtmxLm
D6OD95uQJMNiBsLSaQgd5u4fZaD9m1xMDrgp8O3c9DP/gdFB/JNZxtAFKh3IAEshYxh/Mx5h54oa
dw7CY09uZeSbpnAeB4HExByKFlEXko1e/0iWkXN1mz5jSfaufdm3exDO/c6sRb3T21jX/T89xv+l
mrOMv3KFsQixi6DQxVqGFQQi199qx5E1uJUabL2c3qrKi+el+sWF3zGsCNdm+y2WPfhtIx4TmtaG
podovVc+sCc25xyL4lFBKGWhXt226/OyaCdrg5074VDiLQclxCoeZ9m8nbl63XV229ZjxVhW99Ju
NXe/5LGs5a/NPrFuy56fEB6W/sw9wz3F2qIF8Kysvro3iYB0QKcwKkI54C4aAvjLyWZsvGdSwReF
gTe45sMsQG0x7MCE3dRE1tBTZ+Gqg333gShdv4I5LZNVL8Es+gww0LC7zCXFtg+MKDu2ZpmlNOsT
Kv2kM7mnarVmfjVsSdR9GYNQ2xES2RzrMBG7rjPVJwzthmwka1zbiUINWR7JfFLPDsrbB+GN084B
InmC6dcDT+i1dezMJHWTG2nf1wRgnosw2oJgIjAUvUl5hYT0ppsJdIlYleUa2WT0agRBBXuis4Y7
LSy1x7ljYAWuZ1JkE/XjOXRmFMJhdmngd6zGmZkvIw9Whls31eQHyiZWL1WkViN2nBm8DBKnq+6m
1RXCt+nngZs/WABxot43G5HemUy+zS9J2KBhElp8mecatElgbGsvG54nXR/RIpvFYbQra4cNtthW
Tss8XjR25yuo2yR9OWI/mkG1ccAaEKmlA03Uq/IgUVX6NPz2I0+9Prl2ugBaM/0YElmG4th2j3hw
s3AdFHr2WrVCPZdOmfysB4Diftpp1RP29/neLIzxzNAZiA/0h60MWijKoGZWDepfP5vgmxhx2dor
nrvczoguaOzTKnpP+divTKMZ/ZZPGmVFOFx1px/umbP1J2tQCFVk7O1kjUq01eZiZQwx2Q8EqVyj
Nm+2nT4jJGrQGHF75U6wHRDATUzNpP1q8Zv42piR1eMyPLY8ZulGiP4/T6bpBzLf4K7OIwkjYWR6
W8l+8Nsksd8UpRI3NclgB2KjkmYNPoU9wNw6xbTrIcjjErKUcmFK5g54Oq/OSsptb1ovEVLzysbB
8oyth2taall78MZGnLwK3/hm5DkeemduFFm1kPZCSEwnKgqeHupQuKJ9sklUH20BzEGhK6DWf7LJ
GGwsEEPzjFi5OONxBypTzXXK6BGIFIL6wDdc+pKVF7lL9UNOfb/ribjM1kbrDY9OocfWzkmhj6Vt
8wV/9vzh9PNIGKaSB8/GlRPb3NgIAiBkcRIOb1R/brOqXHvSSQ+dCzQbMbtsnzT3gYBeYmy/FdBp
u7VVg1ZblUwG+nszr+RhFOw0VigUsNsIIBb5mVCEFjjsBFi0DG3gtBjAkPwlgZtdLOJUAFPFoXFR
mRweaWUFopAi6kfAHCq7SL4YMCRcMF5DiZUWJZaoyNRqZvseK7gCpO7hm+iCLH8J2qK+xp3Zlpsx
M8y7ANb3WavbUq0ds9YvsZuUzxBLtWwtuliudWwmZ5vPqLdpxBQd+9lq7gbITg9LDOQXACjFs2u1
aJEnxFt5NaRURyWHr6XS9DMJqYdIq4sLyimzsR9UPGXaa4U0iDRvKvCrYQ5uvHF00L+rsGI0v5V6
7v1oZrM+AucY3kLYLix2RH8VbV/vx7JazxqZFauwK6M99LCe6Jw6kqfI6+nxhr55gmxHYGYAAepR
WIbxtaTWvDoAMMRegYF+kFJWcKGhoeEvdiL1rZyg5K0k9SEMpqX1Cajk32nKakFM0djftW6OGzsU
wwJFMhcZZkoVfsF6grnD6hUvl+Fi/sn57l09ZKbb2rHVN1uDmuyHno7AjLN5m0xmcmgIK9vUg1Vv
OBvGQ0JC1Wuf9oJ/8KHjnOdLTpHK5g/DGOKQmaUw4FBQTohwnLMILS+kvTUiqAJK1EeWgKwsYH50
p9a17dvbtmdlcsr1Bi5YZ/KX7IWzUZH9mZj6sB5cWaH0Hs2XWLSgyBnvPpDKI3jV/NOolccH0UrN
CyrAM0oXjhwrO4fw1D5HVR48hwWVbcGsCkUOhURHKVNVMrmfrJIVN1NlfgBA4qXgiy7h2LnDvdXB
EzSMzlhDYzawQvCP2NW1b/i968fGMMcTJhCZ+WRvFm/SYnfYm5k6peTfrZu8HHdLXfKRaWn5yafU
IpoQfxpHR4J0awOeOoL12Pf4T1yU7aZbj2pFljMBrULNjtx0k0bI9oB40dxOjbZQuedOf7GTti02
tV2nH7LFo7WZEAOOq1AiKFonCqQOg4kWzrIbOQMOVxxruyqNe9h4Pa16rEi8pITj7YreGZv1F02X
6XXSCVAcA2uXJMQ84V5snJlmITLvVDzY7FMovC5BWkgcJ1H5DYhau207LV+XJFyiKCAVpOTLkhTf
THg9/J5x/92AwbwhBQHItxM1+Z1bK3FWHGd8ixSwoRDNJJiAWDcYrYAw4gPiGOk7sS9viowzGkXs
2MtqpjrCx9KAlrGxlStzGoMI/0Ew0OeXdX4dIr29L5NkemSQGT+NWa+ba1sJkzlLZmiojNU19AYu
a6y6d5AKojW4UMPAXsJcbI1UGW4sPCU0WlYuww1Mqn6Not/5hGZffwDCqXrWQJp3dKQalgLTMhha
J6W3mcTcylUDuefgJogm2S529hld9ixBb2Udex1tdhjsJEnPZmm2qtXAOZL4DaFeFnF/SfPVSJxJ
AzEjc7nruPQf+daCVND5DAQbr8zsY5803AQIAchTB/xJoNk4BFHA1Sqpv8hUdJ/GUch1WTsak5pk
sk9uk3LQRp5Z7dySnPW7JprSkbGbwwascMeXxvDqKyRM51sduKxZb2IHiG3apxT4Al2CnRnvqWZc
0Bs5uolIzFwZNSLAXbyIKwy0TrhUFvFF2DnVT6/QZexneqgfIOqh1SgWGaQyCYZcj7/kkfYvseR/
27p/q62jhWKy/q/bukM5vP+lpfv1A7+3dNgbEI7/s+vBxtTOxx5fzhKvhGTqH3N9aS7OdUASMJhA
S7gLHej3hk7ilWDQz7DLdt2FlWL/R3N9829tE0lVpoWCCH88Jnl4C38bg2M1avvCid2jXueAjwDb
r4fUSK+jaaXf86JnpcrC0vFJLQ1BiU1Bem+aefNGkacq1vpKeyBQjHlnVE39AwLg4CWdjUCe6ngc
P6M2TkJcs2Yd+EHRmZpfgy3ddiDYNgFu4pfJaofHrqkwnjfkPQVH1AjZ976frHNfd+5LNJYJ9wXc
NVQPLqw1Qhn5nqAgOESejA+91WcbWFx1t7KJzkbikpvI6YWd/Sh0FsNZNrOGHvuvLTOtaxpoHSOV
vgp+glnML6F241dHKCxI6GMjZ9bvMgj7r2NIcYUsJPqpmdh7V15owSFpRofNQE+RN06mekgwF7JT
bcRNVD39hG+kPZZFMpBR0Ofhfa8ZIIVlhQYjVK7AmFqa8mxESQqUOplJOUGNFL3PyEkYawdqY7Hq
fhOTGY6+6ebuTjlo3VCm2NnTJKLo0lkdCm080HsY6eEuRFYJOlv2O72EK7+e89x+yiN8wzuKv8zB
84pGhLrS6OZVlBYiXIMJ875PQh+rRSXioPJalAfkK6J3DtL62AXpUjwT+wQrs8TOysDu1CBtgZ8/
4UnWvcqFAI+hcBv0DtobJ6/34RSV+1TT1UekBW4LWj/PSh92Jp1Nhs1YOO6SLDTycLwMkLpWFdkF
XRQ2YTeckwt1c8kc1XL616yje7U72bonEZVOtIrmCRN9EDJYoAuDahuynt/g6GguBTNGHxsYkhIT
zuxaDmNEDxGr9ojBGCSJHY3hg9tWPxW/S7fX27mGd+6a5c8hRGnHHUfcOcXn3H4WjWljGaGafgm6
McF4Q4YNyY6Jibfc7t8r4bkP9tD067IqLFz2JgoPTC7mluURl98Yi+EyAwlKXmodKV3/OGuYO7KN
mLW23Tmij6/D5EQPOSkUIvvOu2sMEulcE/NsRzRPmmIc30xlfK/bTh7Ayqy9dS5IhBCy7d8Ga7AP
7iSML6HLawSqXpMh/yTViH6vYBXlk87ZF/ugEOx0UOetCr6hfs806Ti1Mt2qHPu4liyw8BI5GIPd
lVOIZkUWW7lRerWMJhGHQ3GeVhq9xiZmLgKp2CR+JxXIIzxxBzmPYWopiWb39jizrfNcETkw6Q0Z
vnox7dmY89wXh39OnYpksXARTK4IBNKRV5aTvVaqM2nJA29LImZ7xC+Sb9gmOgdz9IZzZ84AMes8
ZdvVdS2T37k+IbgGBp90+ZUoJ0m3UNrWDl9Ee9U8jDcRX8yUfprMvy9LwoWduel3tynlOrHBzJdx
op61DoJfNoyOrwpEevFoiadGppxabk4J7SlJ4pCdgFlNDSBJQ+j6vSFbCIvpgymLF08Cvacl6dmN
mPukDa+4+qNNXpKUE9QIB5JYBzc3KoRlNFW5P6b28rTL4Vk3zWit95NHNLGcNyi++51rJMbVrpBl
cTxRVbLyx3Iv840NNG2pL1V3h2hR39RjMp6n3Jq/mpmUrw7+ENJ/yBQeqyg6Ol3rPJPGCuVhsLOR
Q0pxpiya0nwVW4GGsZhuiG9+OF/QW/PkCoyszK6yH2lYufsSwxTWHC85g3P2wM0qFPqBMXd+C84R
IaEVko+S1vc5oJGd0+TuCSnou04E7aojSACJTT6vaN3bTa56HTITD+VxyJDYBzMTF5/RNU/bMBO+
qK7mATeIJy4RF8PZAixuR0SmWnGGJKsuiXKH7z3ZSxv8x1h2W0Pf6G5VrBPpAGRWbv5K6rH7ELUh
erOQt/81ca2tYXXavZWOxUX0HcYosmaeDc/IfqpJtm+OCOWTA0H5scZYRwlZ69usQkDZz617AIZF
SkWWarSkrpFx6EZx9xRDRDu6kTLfTcVH2jTrAdtxXdy5olL7UbPERZFb7t9ERiofpif6HMzkuSbi
ewjA7RkkRw/uOwv2emQl+O1UyhTQ5cjMMN55KtnHgRY/aGnngLTuXYfe2AzXZtIaLIraaD4S5QIN
M03y+9jIgi9RMQ/k3sF8+zbFBhT0Wevjs8GUZq9YddDri/EDzzC2KrOan83eNPwqSJyF6BZj60N7
8qUOB+OMb3k4M1pgjUQiObYT1rFXy+7EkxH2xnYu2R5OQ92ycaN9/QrzQD2Ysz0+ELhHz8DBVO+5
0cf3CF7Fsxkxvlx1thg3IFdSH7zZ7Cd8Ko+AWB/bm0wt/KVZ02vA9Ahb7YHoqdfpJm4rR6eJv0rL
CFC9taXdcROlix5uvknjikUl1wn0ctNNOlctKjp30dMFi7KOIGeO4OgmuGsW7V0YTd1uQI43YK7c
oR8D6r9o9XgrM9w46PfMRclnIenrQq1a14vK77/18b9VH+Ok+b/K4/9hgFwWf62Qbz/ye4HMwuI3
HX0+NagDD+6mxfjdGiwEwhhUMb/iXQE/4RL4Y+vhLC4BrC6I+hck1LIr+WPrIX4zSXJD+G8SfeuJ
/4juZPx9tQDe0+LPtWCidP48VMt/1W3ktaMUJ/qAcLsirc0GptzmWbFyLbvUT2WFV4hRXO20c7dL
jZzw269kjsEmTYsqV8//j73zWo4bSdPoE6ED3twWypNV9BSpGwTl4E0CCfv0e7LUmqU02+rt+46Y
mOkeiSyLROb/mWOWtlzalYHnxdzg7W2bMUMxpIPRf0hdWj9c4IVZlRp92IzsBbY2akpJ8Xkw75FS
Ro0qbc7Q5XCgCZ2VluudjmLZnKpizsjYDSkqfsBaee0AIjziJRl0HJTufJrtKHpkm9IAWXNfNGYg
Oy5+Dx7AFKwJTzG/KenJK7MJMdBhjvyYkMmsUBFQa9l4jsTx/JbR3kgN38h0eMGr4tLRcL9QZP9G
NB8ZtJLdcEIzoODfTCRCbMtKvBD6jXXKlwga7qaBUsK1E9TU1pSx8M74+Ics7Gg+2MG/orzY5dLc
0QYx9CtNkRqT0s73TdSOW7yUHkkgreIXU41NmrYcIoKmTlS9ynE27kc3qYZdLTO5TrqOlY37A2CM
LmY6Q7NJu2YqNrzI1p6fo6X23JD8EmO1qYZFTfG6wwulNL83X0CfiuvRoZuqI1UFxiUfNm7cMOLr
jPZ6rGtDQdhg6umoYM2KFcY5sGv3noNsnq5NOQbdLs1sIbdJ1+rFauCrvtaIa+h3ws03JpPOcmfJ
IgqZ304M8jJM3ik1XRq2HlBcK8isbb3We2JrnDLKPQRwxifx0PtbcxzHzSgz3KmxOcTbGWaa2p01
jcMIqxi/eVGqvy2wnbe5w9VInCOlMqiy57fSCAJ6oVpSzSSTmwejapOr3JXFC+00qAn6QMkKWpfc
FzRF6Guz9W7Kcm7XvZlQzMAuXITU6Bp8aYzJGDYxN/UtatZE8U4b3EyOAHMVtX3Y0wZ8TIJo8la1
VeYPzM6ZwThJjwck0+oDEGrzIEsYa3QERB+5GiB4VZkRfIrKgdPR3Mkh38VSmI8RXV6HES1iC7qD
U0BQRd2Dbw+fdRKS62H2lzXUVbq8uQLSQ+01Vgn8axqYrdMmcM2ByT7mieO/Ki/VbmCyiZ+chKXB
LNbEXYktwFp3kXiEa9eeha8vn5jjRWtCQvNznzblPlrwI4SappPZaDSyf0OjdTdzPVVn4WQZjiSm
YARMhjQKmWT7a4O8zJMbC7kataA6AF6KP0j8NgwHZVTc59TDhd3CHB6KzU7W1DKRgLdxLbANvSO+
34eznKxgSxjEHFlZIiO6apjurHpHNjdtyY65c3VOtUY+H7B51eGkOh+HaQ5WVSQ/ZzrDeGsmIOlg
uN9nCBzgVMy3aZw/OEXrhFUeB9M6GEyvzdfC4jTP4acR5Hbc27EDo8TD5uwF5va77+3f1sO/Kcww
cRb+1gxwk6T1+6nRnz/wwwig/4FmH+i6icOTNkQLt+CfN0Vf3RM9g6ESdxHqa5VZ9M+boq3sA46p
Cm2p03D5sf+9Kfp/4HTUDR+D158+0n9iBfjVzOgF3FdNB08C91iKa5VV4B3jPho17E2V4xwGZNBo
bWZLfp/Alzs6RDJC0Ovdh8DKlm2jliNjnKKjX8jmlQL86cmp/ObVRl3+QHtD9yGmznnzboPxf/gB
lNr/3t3JszM5iODec0w8EQbbhvfPLuj9NjJomzpkg12/OYk93ZLlqa4rRxkmRQpZhojLgKBQ5/bf
GT1NNTR7/+hU3Dpq10JlpeJpW794ESLAbo3bp4KAS/SCWciCVt2nwSkP2tol/0PNhKmTteBtcr2r
yQ7SJyNr04/TUi1fvJ4mJICPs3VEIek2WHSKnSzaPqdaqXbvoBhxApp6D4PeWMprSiWwLemNvVra
PlplUxkYiKBdeZOYs47p3Bgw2PuCOQmSM/VJ/QKaAH+BJlaWpKlhIKWOjIYEV3f0WSydX195oEs2
bV3090nVVduaTA2HX4m0tY1FgAESqGYWWqmtf9DaVtv4VCH0tOgXzH2gWlEB2VTn1mY6oSUa5+a2
toY9IN4ozFlNFcyup+YDNY523wjSEroOmrI50biY+SVt/l1gXDtjFpEWm+UHf2TSuEp1hg7gABOq
CvkA3L1v5fMWXJFLBpNORkA4ZLrYKYr7oNeyO71LU2Od4aF7LWrdBfbm6e3aT6CZjb3VptsBjMi8
Asjh3k+RHzNoEsItVrSqyUf8IsmGWoOxP2CwQb+nnUTeT2nvJyHD/I60Dx0a25JkCNaxSOYWNzsX
9Xdjx4t1VU2tPlIRhwqK/MMoJWsXm4810+w9NyFToy0A1XZ0nBcvm32iGm51m1eU5ZHSJlPYO8my
sluZUQSoY+bQs6zdtnIkko/QsluogvoiEnPY5nq6ZTs1rLlSgwPD5vJ+MefhUiSdHZfMz9bor95b
QjprvyCXILo0cj+n5P620pSI7V5m0q0pBhuGL+3e3Y58q4Ff05+OgW9EzyQ4+z2UlBHxCAzAV3vU
hxujNiZ68yuv/EoDa16vzEVYK0FbDf0XRiy4oaMFWxwaWzdbc+09JDHzp3Ofpz37giwqcVAabZni
9hUeCga+vkjEYTYxw1r5jcy/VFkSpf5KttnORGf+QpIGUC8yaImU11TNoJ+YkrXp25AW1DwG1WAj
gXdtdFz6xSIDamXDizulMcWkjlm/LRrEyjAK+gmqhyE05n5Rn0HACBCIQ1fWdrqRfQtTto78+YSo
XM0hFgRpbHr6cNKH2arneT8PAsqwxgYhWtVVW8ZrLJFx89EORkYzJEGcCqWeIn+U/hxvNMljbgWy
um4TBfIVulW/dbVnHYx2LhS4guKNOe/yewwhajFMeP35klY32QKfGlS3CELNDHi0Vr025EzngUyq
MW6E00UdCSm7Y77tZshj6cCzn7DPsHucln1aj81rFzn16zjQqIFuOyD8J/Tog8Aj3KWten3qP+lZ
2+snDOWOfg6i0eIgYjb1W9sVAY0KWrFsL0s59gPeJ5RqcyMzmGy8Vjmcp9RcnrHXIJuG+Wgtebeb
IjMqSJXatjG/Mclr9ebo0x3B/7ALgW+9KugPIUhQY3QYXqp4KlL8QZpTvZFuJsI0t0t3VSt/AkIm
zxgHGbaFsWf4gB+kZcfJwOZmvlgcKIYzcTHjfr3rlQcCbBEXFj2auIcuJgma5DBM+Mo7MV1sFPrF
UlFCOsEQcbFamMp1UV0MGPbFjLFYTtSvAX97HzXaWwG/XqwbWFOwcbB7Q5/rL/aORDk9auX5SC72
D185QSJftw+xOZkbQqb1p86QT7ig3cMQBJmzM5SfpL9YSzSCXcwDL5YT42I/AVGF/qg8KUav56fE
GiLi0tpcXSfKvWLm/YQ9OulhfpBBYgNoGQn1I/kmM2ttCQvDma7tIquvsAkl1/3FJiOFXxwm4TfO
xlc+GuviqDFN4FR8gbTH/GK5oVF1BhujjDjGxZQD1wuDTn8x68wX4051MfEYF0MP63gcwsS2GQOy
4Hel1X34d5zy/xmnMNBgr/fXauP6a/E2vrVf3+8dv//Mn1tHj1gQc3tLRyBUTAIX0e/PrSN/5NFP
z83xsm9UM5Mf45TgD3aTlJPRGuaQzldbph/jFBJINttNquYpb1EBoH+iORrBr9sjMBsq5kTTGpkn
Jje/uEjzbEgyYwnEfqbT44WTe6VC0RYn/AmHcshcsJTbRsy3BYE+hc0dQmJQAZK63mypvyalTLbE
eInSHqxWVeUu4Ax9/DpJV2Fv2Jj4Ef4YHDe3FQ1fK8YmH1k1fMJEabOtYg7qs6XHG4zppCp5E9M9
pV/OQybH6prSreVcZOiS7JH0Zc/wNIKpAx/syP0+X/c1LEzNA6YlFWsRn2x7NQnc7m4Jf12bnGzH
IkhHEnam5uAtjCBrIjf3VRDbRwKNBMeF9pIWpfYYi8pd2Yynd31gxnRuNZjpyZSQie0ogJq6u4G7
vKPlvEiAaisjMe9sc863mFuT9exY2iqL8d3qcf6toboZJ0MAW6/SF4DvDdtuU8hmKxYenbDxnQs2
ZZV68iQRZFe9ad6lhv9IMuGEHFutkql6GMViXE8jqZYiZ8NnkmPgv8rrei6vbb95iZjLh4shJ3z7
8cfARd+k2melGqHzOf8oHNX+XdcPU6Ytr3lR6evGSpJ17jc9NsN5CDFWhHwFH3FSbiKP+QN4K/UU
BJYhfjW4YQr1Fo8SrFzTtgwEMKx3QfFcz739bFBisENYaEJ8hxZ8N/z1MIrICOtQGJfmVnftBdqP
dpRUeb3VNmWdOPEH2FiwHkOrIUZJ9PuW6qh95C8+x2wpbmbwsy927j+6XVrDNSc3ZXQzBZYRbDoi
s8Y+EK4PNNl/KjAFixXjuSdAi/HRLmsS9F6sIlJB1H/WdNFWIXB1604S5zmXqUiAIJvJ5FNrKZZN
wS7I0piXWy1TmLVZW/ddITnZk/1fIxS5YcSVw71mSNdJoVFYUE4i2LXCIvIZNwYo8RTzT4ZPGTV8
cOuzaUz9VUyPcL8dW8158uwxvbJLV2c3Iod1R7ArJJpPZ5zDe1lvDc5FZIhpLbgaZ6IuhzrTyYY4
mZy/sXFZtB3SWR19mwNvPBVmi5wXV3a+KbzUYoRZxDQSZ8bDvwv9/2ehp6WBlfmvF/rwrUi/wS9N
fxqdf/+pH6Nz5uMcwG3WZpOzLs78/yz1HMr/YDyu86UnM8hyz03lx5TABH/AyZRtiJr+XSKlP9Z6
8w8HQIvt+fr3wfo/yo0aPMb7k7AioxgmHmfXs4iomkoneH8OpzULWHvfT2e2DsFmwEvVMB3E0xjm
HP7uSLDNx2xC8qOwLZe0j9vDU253eJu7oBLfNxR/Gfk0MO38+mxsHckb9pVOYMBVz/bdzII8T5MH
lOTQEk89SZxDWVj1Xs35k4h3HayG0SZ3zagP13XpSxGK7NKBt3SeHZKor74EUuo3/I4E4mVRGE+L
Q53gbnad6Ksxc2Vv333et99HBu8DseYvgQv1/tmu5/q0J3FTRoD45RmnnPbRW+XZmpjYrd1pKZ4G
3EfWVnozRcDDPBkZDnzOoAtVveycc93alUM7G+t2qOUXKolpFEm1BsuwTFmrZZnoGFRaJ4ciVGfJ
bd6DnId8isFX14PnLhGXcr1pk3aae0rbZCh3v39V//0xYGzihk37CN8N6/Ki330MePDiUWuK7lzJ
KHiuY+ZLcBKoHedQ10+3IwGIhyYyipffP6z6rr2byuge0w08VRY9cDjJCVT//F7S/RTbTRdX58pf
jLORJ/2ZDX6YAgR9/v0j/TJ9ujwSdir4bhDoSOv88j1rmLsTiUjqs9/o9pugO6nYRRJLHo05yUYX
fbHQoTD7dZiR0y//7kujvhQ/v1C+KCbOHxUKV+O5n1+o51kpZDlyvaoM+a3MemobC/UcnKXsNpBB
a+UdzpLdWIgLmKL2voIW7g5jMNvXk2u1Ol2EWQ242YMObrWNSeDSx/DfaEOz1rWl9LDs13a7dyx3
6f9mfvZrTpq3jy0qywbDTagu1Pj9/Px1t3cYLEYaJTlR+Za2+GpWUEIk3YGgQKr4OCZp/in2g+Z6
WkSydaH9pTSHDt43STizDuck9kK7zoavaWt5XwgEJd7x9x+x7fzXhwxShi8RBcSsrVydapf77lvs
Umyjt4m0Tmg+TRT4axkkC90jaooviXuGYCT1u6GcHYqKkgT6gFEhLXF4LZQYkOPfv28KB4XAK8b4
w5iVjAHAkqwaJJUnV4kKeEsigtJKaQCjjOoQZV11HpUUQaWJhRZjoE+AAkarMIek3DvoOvdmFt9S
YY5Tueg9cZboHPKieLhK/DDS2WRtsPtlUe172XWhhBIUMPuYKPFkuegoI8VHZciXLoVEopSWUYku
hpJflmz63HRCPvS6hjbDCNIjhSh6UCam+ciOZ8ypM8MNsaJsMfoUXHQe/LTax16JP03TwQ6tq+Zg
EL75kg6Ny3WvBKP0oh0NSkZik4IgoqQlg+DbjRjLaQPMUmyNiwZVMOuKwwGfjsCog0xVdhaCVRPc
YChBw6JQSe651ZhjWCmRy5de8TKVFDqZbdDg/5eIYQFNaWgq5fLmuzU1qjpFxtsh9+OtBivtzVSy
WndR2JaL2kZ9IcrbpEQ4S8lx80WZa5VIR1q93FeIcSuWczQ81Dv0vOyi7XkRdmjvovjZSvyzLjpg
iyIY20obHJVMmF4Uw+yiHloXJXGyvOnahSxcRHc9loyyXNHWPFftF9zsHN1fu1GbPA4FQctSXn82
5zKTbNF62feNfpa5LHPGd3Ti7Iagl9EBqxm5z8ws6gcd0OKBrAFznp7PIFqR9w8mPq7S99dVpOax
BO5HsQFNGOthW+AMu0nID3v4/GZv5OwxFRhd3E5afKPGCHjEGPbcC7eulmTRDQ5ry41DJg4E8A26
y8ptVaRtQHMpN69oMw2pywAtQPZYzREyZVh3EXAh5qR0GY1gkAitR+wKtmAAyiX0SRjgkTch6IRl
0mqIq+zQO9IiWlnSjpv637R+oKWPOIpJDtH2e//soGlFx8rypIcLp5o6scz7DvG2TThqJV65ibph
EUijXZVu58It573edWUTOiZk4NCjp74gGydS8hU4eT9oTbkYbNPdHAkzL3Xtpsh0XOC9rKoPWVkG
5cFilFhscpKC90svLRIdMLaNq2RMOjoCvASBfBe1Q1M9cDO2jiBPzXzbNzyDTS0ZLm18g7Bb6Gdz
M55Kn1EfvvuqadeRYfTH1nKcYs3RJ+7XnqqZ5TTXMXupFjiFX6lICEDC8AQoSZ7LRBwMNMF9nHqc
j808F9Y6rVNqBDF5MnUc2ya4zaIxsxnjC5r5yiZbtCtKGuyt0USxw9MNvGZDqGepaUYyMNTkVBoi
GvL3VgZ9d5Q/iNgSIQETaPBySrWPLSDfWaMxKPfNs7HQMpCu/MHWrMe5AKN4dpsAwFOFZ+zk9BW3
pBjeIj9A/RrvVpQmRvVKl1WVHAV2YIbhNAelV4aM5aOdmc6bg+cMiC8mWWvbVxP0p85dcBtALs9w
Kloi70LEgk1qpOK1GEd2Fhkt7g+d446fIHta+8EbKR8iq6ebKhvG73GKOptIQw401uGjte866RiP
hlSV2COFwT7eyplW08Ess3TfTqYJDItTn3mTal7wXOlCfTmzTHR04XUUEUx4z/xQF8o+kYwVT6zu
WHSvuIMFz/B/+HaXrJJIEcQpEca7IDJvGcHm+b3pU0Z8mOxs7E9ykvyCCATSrZNr7rSp4bGMh7pe
qNGezFIuO9VyyItXT31kfeJ5Ebg6207Fq+gFFB/cf3W+hEE+cOk0BSVGd1Xrccm3PbuCmD9jTTVl
ldwIw56pmrOahHF0MrZTfyq1BAYndA4xbSedmdHm++ibfyfzzitiAZkCQ+2TZUV0zCTwyJiXkb0P
Z57vBS2Pb7hTeRpTS4uFJSe9u4rZ5ma4ZqAIPvjcLXZdpRtnEcTi1Sbcy2neTlLzWPtx0DPFBPG8
nltPjGxwZ2vXmLytoe6J+XNe5M7t1Hfw3gWzhfzDiLuk25eRVn6bl0CtIRAgOGYzKFC1tnPSbSl2
CT5oelRuy7GJSYvYLHNzOyb3ZCu7qwDTnbMmc2LGLHuOTTV4YgbPbaYN8aYwKy6TRYus4GBXtSG+
lizI8xGtVrVoqhWbSjQKLLcTJTYbbjKjuDLa3uRYHxRy4E5LvpOtt8g+tsEQPGoz2/TjEsjW+CIx
G6pAo+ENh3Q0+VXE0RLSjCNswgMSXwJHB5IzJr1hkKdp9oqHbOgECNBub5fQjvfLSI9EmOtkmqCx
cdo/Ve5kX2tSx+KbiKocruJ5bJLQd+jWfmQn0n3RA6BdK5bObkCm6pDPgnHwBXeBWTwArjPSF6Ne
LH/AY0ij3VMjLS3gl4Gtwv8BQPuoRc34CeMI04rCo4X4wCjOuJtwFCy7tifaukkX5QdKTZlZtxPQ
FOdcug1pZLI+untSLcJTSPBtJPubNHxqo1+BvWsXDyHA7zpM1JM1teuhoM9gt/iCb3+Osuit50gV
XoIKccWHkQjTY0b2KeJySINnvutld1sF+CW2vdkE2dYvE3dcTf2rCc4GmANqkvfkmNSXr0cnlvbJ
jgp/uMdbHbTc3PlGb5rU4tPk4IDBJ6XbnOqWtkmsW3PSC/cQTXXA65omLT7lrdaM67KLWDPYjfXy
VEDP4xgZ5PG2S3zmdeOk64dZEN9bz3Q5pdiOEu902ZX+67X4O68Fw2nm1X89SlHlxeo/TZO+H5vT
GaB+7oflwv/DYCJiU7YFypU6Af7oz7l5YBDWwZhIMcN/pigW//hjakLEh1oGNUyhoMH1OCz8A28F
45GfT3AcJxgNMSKnUMGCSOLwRN6fLVIvFU5OO/mB6NtyInq4bDWz4+peSthzjkz0vRS4veg3l/SZ
GGLGxUCsurqu7Xp+oloOV3zNLSpeUfGBKhkYyvafR+Z0Sw8pwLFZa16XJm+JfncZEK+rKPXmHppr
Y26omVxOgRdD/Asu20Ou0ByOUDV89TKfRV+kDJe5maIoqgL9e0V5D1vMeTt/BAaweDxfBr/zzhvs
6Mjel4GKW03VNU8TcZQ4YfNmBdWyxcKZr6ue7ejcz5lBZMPWqmZffC+FMaKlJx93aYuZNd3nJBdb
MbX2gaeZz/oQxemm7GPuLaxdmvOa6GwuwAKNgUyuamnllNOMsH/HW2F6tNZ4sT/GZ+L7ib+tcxTI
e7a37lYv8pLId0r2DqddN0h9rSW65Rxoi+Bvxgb7oJepzZtqRxMsYR5N9ekgXdCtE116dozvLebG
n6XmpRvphH5EFX8qFYZuYFSzqS9sus5TnDrkcf8FBIbUNpUxYp+uBKwBGlok/wZcAdydk4nh7PkZ
Cxw5BYuAkGXcLaCw1qOC5bXUkeJK2JGf0E8UwBY7P8Bqowh7g4LttSURY86lt0KB+LCQeaSgexRa
jQLUu8GdpyfKe/MXnawi50/MF5bT16rg0/mqKdyf39HWJOhgZrOmBVs06fQgfQCBGXa31ZgkNVOn
tmK1r+SRlXNvKrRgoiCDAwRRNrswQkM4zzvNAEbYQSWcgpkSiXZoV2QBuk9ObUT3ZZ5468kCaJjH
oA11jLVXnl50m67h/JkoBGKtYIhCM5JdzIL72b2wEjkgZreDAijGg2IpTs2MdM0ZFVkmM7RjlZDQ
YMoBgrHtmnk3CrE8W2bxmGmN+UpZNMxGE3qjyqU+uwroaI+WjUM/QrjNqQFwBeDHFgJkFHX+26Kg
kEGjujUwSco35OlNtlDAZiRgJHN4ksMFLKkQk9aw0OnhxhG8yhgEZa1glFHtGa+TybHEoGw1Wpkj
nQZZXhwYFdFgDWbtsVNwS0thLslZW1cj+75zoSCYpcJhNgqM2Q9N9iKqJHvlE8VXqwCafU0jMf72
5pwrvGZzIW1GLdBNZh/LLTP+4bqUIDnLVNE5owZQ55zhX0ZVtlhWrCk9+XNr3QWAQBUMh8u+mFra
ZRs/TY9Uc1s3vd931wMK0wcaGZT5Zh71U5MP6YmSDPHY5/34kKagRa08Jik8gRulNjp7bgdXXkmn
DvAk9NBpCdrCKDUUrtRR4NJmmcadXPR4rWfgGFoB4NQZQJ0SfJw/gBsEfxpolF0CRJWQUQuFSI36
hMongjIbA36qCUd1dvSZLRbiGQfEL/SqIb4p7Koekx2rqBtgINANHOUqDKWJPq0XhWxtLvBWMabb
wp7T0K2oTshqR5wThXull8+6ixQCtlcwWPyYwx1vSHRDpKb/wFbUCKniK9dcJ4ALFFJ2vMBlL5zZ
UiFnGwWf5WPnatFGjple3nyxNFeyhUHaW00R++mJDdpKlK28xaUF2ZZpkRtmjHLY+Djmt8VM6Boh
99bzVebcFEDIpa5sOCVRedsMMjibCqOLFb4Adh6w8bxQdnUF3KV2TD8FMg/OWl2ad/M09Nwoujm4
xslc7AK4vcWF4GtwoR57Sr3Xix1wCI9GOR3S3IipfcFeHvtuGvJmVKcecyuOe5YaBQzW6Cc/msI2
HlwSSmaoSy0KO+HOn5NsnHA2XdjDvcIQdwpInLseITHotNxLCH+K2vyYKYBxQVJmJ0hcPxptRnqc
4/rZVKxPrReKfTHn4qkDTneeHG85DQqT3ChgMrfP8b5IayjKXD3edTWCVp4vlOU8BrhcVc54JE89
gBo1hvMgW+tosoXf+qkQz/iuOKc5RNRme1h2Vjold9zZmlc36OtPvqy8b1TeAZpw1fAxCOIvI9Vt
G1uxdSJE1RFGztU8dc7aM3QZarUqcAu0Tjv4BrTDld4VpAZL36CbwhypWHAXLTsWiS0IGFZyg2eZ
Qi+nVPZhN8u/VbZBx3IwiA9+XLnuBn5d+cmKY39XiSk6EZj1rwa/wjWGyY7oq78P+tykSs7k/oaV
DPSItPXgBvNcd6KeD6St39VHUdN3F0nNJUaVO2cmK7j4hqr/gKLkrtgWU4DU2Rr6ZIf8fkdjuX9N
+n7+qlt9AQiwT5WXiff4iiCn9pjgUnsV5Bp3U67VNn5BLavUot1QM75E0UbqPqCevLLOqQ7fq68G
GtR8zD74vRx/58kaZGjf0T8TmoEmQo446P2157/l+tLAorHe7L6rKQWqnAc/jrsVWVXrepSBzTI4
mxSAL3oYRxUIUqc7isIydlgJ6f+o0nWQCfPU413DelMDOEgqekJj03ryiA3RFagVWyEgQGmEBxsm
ddaGsh6TeGParcn1NYd50bs7z4ntz0j7BFVpvyAtPA7Bg0FWYktTCsWcSWs8krNIbFDYjX2bRyIi
4zZMwV0RV96O0XRNO6R17ZNe4GMvbf0kdOMkbZdxnDT9jZFq4mvScx6iHG4M9hT9eHtPy5qwK6jd
4eTV3TZL0dxSjSf2GcM+eoccCDIOg6hxpLt3Fxmt94G9gImOTvoAs6DlffMhIb+WNaG4KG9eHFF4
GyrS72gG6jJeny7Zd4x+t+cAzfEqk1lyHJtWo/rR7Jh24UaMuGmL5XPatCX6WxqNRxOqNdX/49XM
XJSvpt1ty4xTN2eufGuk3Kyp97az7UiYmNJvsbD/mFiEz4yoxLoTLdORtrwZqENswmjR7R33OwiY
NnypQmozPVGGtzfrwr9BvWHOARLplQ2a24Vahrov5mjfN1kUxpCBzJVnUOYEYz02Qr7Zxe1I9iYJ
sZlmTKv0mu0rc8ENgb7x3m3pehppHz24+lzdyFwo96Lltnw5Au8LG99kYyM67XKdZcUHIEKKl50q
fcqmPj4MNDY96XldPNkme0BoSYsdOthDb5pcBldL7rJbiZ3ooHsNfScxxDsI3tAfBsZd0SHth3Yh
u2Flx0yqqqGUhEPPFhPcQCnMuPtqlZnXwcbK5Wz4zcoS/nU0ONSTSr89OkUi0EY762Tb7XwOBLyn
IE/jUMZiOibVuGxiNv4vi+tfZbb7CFJqJK+RnqvUMXiV9rHMPeNj6tnmCo9hAQzOxeHhle6LQRPI
YdaYRg5jYq1Fr3WbxlreKK34lHrand/YZHeSwYUhYSQ0JVJBWstq3OmWBqzPKSgUacyrtDBKqLPx
Ex8Lk7jZt8Ogo8rIKtjcaEV6M1Dyceoc+9XobMY/g+xXcZ4X6zz3iR+XBW8Mbd+rAqgYgVC8szVd
98c4IVJdEXhBv2Kwkg4U9tvmM3aJIgccCi4MEF27NTwTG4o2LQR26QJdKLxe1Xa583y6Rpc0s15n
zYSjnC5NSIvSLogc72ZyKfRq3Co/VXz93rTO25ieEz2WsnP3DRA0svSdflIsY1r+SWcvIPWutC5J
D0BZ/S3azBI2mCnD2aZVrqllfK40wjABmJMbR+fF0V3AtIOAhysaIvVu43Wrd6fW/0MQ/kV04mCI
RYvSYkz8qMKcD38+GCaRzWi699MDwS2OdUgAIFcXn1XagRjzYOuV+NywlyIgiX1w/fsH/0VAvTw4
vB78Xz66nhH88uBYUlt3Xpr0YEx1+3nJ2uqa5pXkBmpCfv/7h/pF91YPZRmkcxSP0wEb9MtDMXTP
XFhXPBQDv4rkrj8Xq2qO66+/f5xLEOCdVnp5IBuJkUO/Ti2Eq97wdypejqHXbnMvPvRNNG8T0BkH
t8e4WVSpvBUtIIXrIUj0lA+9fGu8WOkdC4ZeDRWGw3XEXG3z+6f03x+xZ+LBu4jVnGm9X87+vS79
RHLKOGAMW0562c47hmOcoO2C7oC1Hift56kf+JyBeH5XNf+dH/3N/Mhz1ZX01+MjlM66ffvyU1zn
+8/88OHoWGps2loCdWVYF4TtjwirSrc62Dgcar8DDJZ84D98OAY+HIZNmGTQkH+OsLp/MAEyA5wz
Dndv1en5DyZK9q+WAN+j9xil2vN5OL7tv3zNdRDYOkRU7Yo0msiCLZMsf+5fyHbaVXvM9JKJ0yon
ApuAcekk7c/XFhP0cQP4EbuoBAA02w2WtyDyc+tUaXgs8E5qkslvxgpO7W236+HBTtEu91N4cddO
TLqDOAn/b9TvoXHwWE+6M+AxJKTZl/2UXBtw/eaFE5LvaavE15hxDwCdy6OFg4RZtjUWKcQYJh4w
Z+irlGHtyraZHzKMigYbODsevTsSHX0S3KSpJCMZMIxYUa+hlSEKE0VToDygh9CIRg8yLSM1quT3
Rfnfq+bvrhrAA7+/aqrq62eZfu7l+6Grd/mxPy8cz8CQjCLgeuS01HXDcvfDq2z94XG56Dr5bpbD
i435x4XD1aYqX1W4it/GP/xnFEtBEpMvHM6IoQAL/OAfGdio9vtlFIthCLMQ3QXIOI5K4/18g0AL
dgMiBsO+rmJjbSYpqHVoI6Ej5cvs5p98Hc9rU2O5xbsUhBQtc7af5hxZKG84FfuP/uDnRyz3+Wnq
i+vBtzv22S4etBaUp07/oZeRXMXgSla0ZyhqW6W+hiBCEZgvmOoFWooA3Qchjqq7hkuBNA1s+Yxa
x40hPApDDB4T38MQZlQU4pUW+jrLuxfwzY+9k9YoLbUZcl7/5GqNvi5K/nrORhCKj9cemqF9MUCx
cMAgNZSh4m/KyHvWRv0+s4xPA314/GzzUtSYFWNJJXvtcV5wzTsjIXhuVrwet5nkRm/Fi2tkAYEd
tpejxsurGEHDBsIHPGjeoW39A35lifDOWzNgBIhlaa0Wzr9mrk0r1+WtrP22W+uCX0rVroUvLH7i
JfA26P4BhnK3Rj8n9sBBIRwaW9skEemPPjHrfUYD7ramP3TtCmYWQ27fjX4vN+onMxuHXArMbwXC
7H/YO4/tuJUt234RagRMwHQzgXRMeooU1cEQJTHgvf/6N8F3qkqiVGLd267OGccpkQlEBCL2Xmsu
LFUzt6DKTHTSnb7cqpJy6pwNgIW4JH14eSEtNNKIFo2gr/lCZkW+pljY77YoJUKnd32vLF7noqb5
aDYQTENS+IhcYVOAWexbmGnEvzbeAwbPLnjTLLdYuDC2IzKhO4wgWAwGNXOvfSD5KyW5gYCaN6tN
taA650Blbsw11HOUDjUF7eFtkAA7cqlYQPCtHMYBbXAQdi71GeE90NMa6PPzl1zI2yHmS6kktY6m
1rDeJ9BmqClMJ4dDaIALiFHU8f/CULiKWx1LcNkagbOK5+0QU+BCC3IDboANtJRXjOdXUs7MjUGt
aZON8QtpITz7hX/iZI+HUNcKf+zcdusMJX8m5y7h3HF9w6nYxNStt8W89Pnteed4DTdDxrDqRqxF
KmLIOB5F/BJKCzwRNzsJXb0yyRnVvA3oJjM6XYehQiUx3mKynj9lEf9ou8mLqfNFmHnuZoC9eNVz
uxzLeZjRXwRjzTxxnDE8jbDRLyOH2eE57Wcn5QNthyfs9gwml9n4djOKikkxavyvVZq/5ORuBFTy
61NmtDKwOFZvs7TFgVV4+l3ecmI3qpGSKaElyHqqakcYlRE0aSn8vKHJUmM0CkYVtRcQoqe9Qg15
hoQW0y4nPSuForqdR/Mcj5j8yHZilEF/R03BEQWZuvBJcxKrnwFFyayygOLZKykS8e0QUcpZpxf+
2uUgdPxYkwVhoYdpsCl7DEgi53ET95ZyohLFfiIoMBj0dRqmiA7fnq2W8/MxsZ3tAUOD0hkCRYXT
zKQJSyjzqgda2zgl4UH7ljp2gB7D24E+yPxRQ4L/NgDWEc4UvwWihTJ/ZhnzBua3RZGCeg2PrutH
nIgNw2hKjS4YEj38Wq3xhxJrH0c4rkVwJugtz2T1kvFLDO1lCyXmlTK/CUSC2SM0ZnNudt7WKPTw
JJq+OKP1ma7kJGk4JS8aqngsGZg34DetWnVmRL8I7aAk87QEi3CGveXtHJtBBiCuOGMv5eoFy5eT
5JA7WRwQq9DLtfZelOEhJeD3jIF42BJ7Y2+dDswlOqt2Uxttcxxt7BkIcFx/inNxEKU0Ay1TLIqc
ygEC8+g0hyTjsDduaZK5+wUj4Z7WuRFASB62UHeohgx8hbGH1MsUoSrgsoLlTmb+/7XJ8DiDvE1a
pFIDXEjcInoX3Uj6PX4jrVtjXpNh8GhuJMplXjvE2M3EiaFoi3l+ZSZ8FFvYWWxruuqd9JVtHLdm
Zga83Wu806mf5nxkr/NcrQJBmjV1VMI4+1FQlGgjMi28MfQFtVNZU/UN69fa4V/nRKIy6SvMCKwn
4Jnjnd4031yhyaDQEOYBx3zMaURSiYlutLG/Isw5WZGi6jTHE/1KLWsznTSMWQRGOpLgUEwaQQRL
RmKbzNbuCzsCO8B82pL8tTTJi5GUk69zsiVNRRgPEoCbDzGqSi7RgfWneBQ8QlOg+AIWp1t9kAjo
CFHJIS5Slr3CizAvOLumnSCPzGkHsYzYnDbA61vpW7smwb4K+69aV5bfqcN+s2LqSRtlTumrW5va
gohQWwjdZGKMh65oyh1akcmrNo1Wm9sqaZjziQUNXfEq8pHch5feWC4EapvF2F6hbnYdqBAWsWPd
vHTa51lhk4+I+cnOIfDQbtM0mY4Ll3p3fCUH25gDRRqEdkc5JD1Fjv3w01bsf1FJYF9j2SYVBNsB
JemZ746ZmacZi0WX4+DE87ynHPYap7xczMJ96BvKp5JDACBURvrfr7ue3H8+cL9d19JXTr8rHFO8
20+hMIaB3FX9QR/fFjvmoBnj9R01QHhV+vr3q70vWbxdDTHxmgngAfJ5d7VlVBo1+6KnpcwAWXcC
HhDIQGnEnbxd6f8OAR8cAkz0qdz1//ns/PBj+tr+vP//50/8cwDwVtYpRULEnjbGDHPdgP/XyRlE
qmkYGB/Wk/DbLv8/3Yo2uRZYXuCmWng5KNn+1wHAkBgZwf7jL6R8svoL/5WTs46o+9cRq6P5sDhH
OAwh1KFc69cTAI0tbahL0pBHjPlPg4YqrM3mb+4EVBBVVB1EGqv4lJfpnTO6l21b4Tofkvq+Ikip
Fk176mdIhLVLodkqe+04h6YdQsHHfEFKrfa1d1acMSyp+mC5MPPxY1Eivikcyf7OsmKYUhutyHTn
uOgNukqPjLLyU5thQ2ctJdcZWVzK/uPSrRrhABcdxoXOZ8q7OCd6FaYngQGLEjR/qrFp6k+ZW3Rs
2hD3ZzrInsk2eLGFXhc4kaDEH2WWUeGhI6Ad+WSRumQQTcY8e0HM9lU/OeVsPFosvDUoulInuayz
SI6Ga+jM8ojKQJLUROaOkzwQ2IMyd6M76VCT2STLrwlRO9+VnaDfWowWIeHKGBIDGV4tL/V72ltA
6Dq+QrtPp9K4cIW5Zh3bXnQR4hplc4Cet90N7KaHAGIda5ZbJuw2yuqZXLSOfOjC7ABnTW4wClc+
z4O0KDGr6BC38T1E2IqH1SeXtVFwZjDGx6SMzT3eT9qjuacOaJ5BL9S5ip6gi6Lsm+lSUlm+xO+A
krfvn8hCRfqatTdmPkXIbwdeA4Oyv1H8GBFWjs8LIomtwWYqncyjmtJH6t+oETw9OQH1fVExenOT
0vX9QmMd+a6W73tuqWYWxHA6FZJIJ3J2LqlvhucRcBw/2pnxWgLzu1jaEtxsiowF5/kWodlzmbcn
ONbFIe2gC+DTA16eo+qZKxuCkNBpqy+8BPNyw+bosRJa7PeNxss5H37YcWFf5vYS3oxeaW9o7iPF
7aGItGbop3Of7q3BIidogbiVmLY/DMPKdQ/BfIzYywn5bS7djm2yIy0B4TKOd8W0yE2vKcIe2tp9
iXtjwI/Ezo6Q3uk0NfMcVLXU7lQ1W+Cf1A+wD+W11Lp72cXTfZEjugZHCsk3ruID3l5708eobkAv
SI1ufr/rXGkdWReiXQNae0cwLa2ZSPOIaxh/lDJFKxBhgw1ZOzap6nGchlP8Anu33A4SVZ9SDYc0
kXMgAlS1aQt4hzgf7Y0UwIR1rUV2aEwPuiwEVPP0UcvC47IU4yZvq5r3ovZE31ggMZiSU1RL4AyV
Fb+avWy+9IvDGbzbEBBspZt2qG2LDrZIz/mQwtm11+1W36CvNK1FeyXNozA3gwvDjvYHoXF+kwzL
vJ3zSTsQRdpDPB1G5z6z0uqGwnyODiZs4qsKaxuRFbGLhRYuylbP+uShtXMwikJfFBSy0jgVvWqg
YpkdV2NgpQuyq+5bn7FbEeEw3IDWR8IwMCyUN2QQNyhafK8rFtVAOdZ8grVQHKCa0aLc4yaIJ6RD
tpi2Nd92JcWM3asOFC7eqDGsdvbU99HrnLQkUbujV8MuEQivrgxXts+0gcBPrLpeSEBDLi6iwsv3
Y+xW26jWjL0wSn5ZOh6dOSFPPCpZJSb2s6VQWiBNoHBgLdVGVLUZhN6CXECFsLfc5TModu/RiSuU
Mon2lSn1ZCwx20nUr4SnAALWausqEehIwNMnF4UWf0fO0/ixUcWPeZPAOoDGE18aHOF0ROQLzSQ9
12/qPPxUZ0bq0vo3vXNlZeVJ97qd6ZjDGbxddWeZnnaPU9H5auQy9lXq1Yjz1lNsr2g8b0Zk4kFY
FhPOghk1RogErAvZX6uu666QiZcBnwNZRxPsvtZZu2b83ubLgAy+RtyiIV1GTz7cIBpAQzu3h1EX
0QoIReNUr+7lObQL7CPzM2dHebCG3PvWGDSwp1Wk36YAd0y3+2zPCThYIbTAMIejlekumWbkYm46
vepew9KygkTrNPIIZUSmYK+v/nEvqMoJM6HCDRNCqd8Qo30Vj256vWhiuJxjbEfF3Dt+XEyA91s8
MYNj9EFnGWoPmHvaCPJGtl6S9BvaFHscfw1rcHfp9axaCy6uDY5HRmI3FccOUeDGHhu5Bmjc9S6S
RE6paUBHD7pgX3qHepr22lx7xwbR3xbwDCpq28u/zVU5cDw04SfqmubTlAaLnJfI2z3XaB+8OPF8
kEWzT3aEh/+xPqJlQ1qsVa9T7XzKY6eE8jz2O9FWHMZmb4EhtIqliyna9T2nGy2tvw/pcpkRF32h
T6iWl5GI9cxwimuDnckZZFEZFGKmBx534rhIaR80HO7U3AAqESocb10OK4TF8ZsphWcbI09Z72r7
y7IgJyvcNac57b4YZZpeyCoMN/oMkzg0gY5UaCLPjIF238YWoZNp+go3xNtN1fJFVWvKyOKxliUz
2ihMOER7DwlLf+ohPKzA+omsa244E4fbiEiYq9FyB17uZEDYQgEtka+VV/+wujjbZZINwzBZTzks
m22etvVj5vJRS2MRYYNS8bXpLWOLpSn1kXDmG6cdo5tSZsmtZ5TVEU3/ch7SjtvgpF/6PKS8NDC7
WKWGJ3cueWF05qoRK7agA6EhTS7ruh1nL0aB739Nzzz2+NbBOzhoIDytIIdwyc+GbowBByZrO5jz
SxsR/Degv0X/xXcYoxTfsFe7j60wlpvUbEtu6EJvcRM5/USWZ1rx9YcuTZ6Z9inkg5HjTe1I/iz+
y3t4WUc7m+g6ZJ667XF83Ugwhc+ACe7J1R1pC6kryyjbg9m7ipTzKKkCkCncaKLCrU+coQnYkOBm
5s6l6hHaxrYmeJEnPYyzv9SAtji+w+NSpfFdooCVPjGhKcobvbweSLQ4iGVC/TFJ98uYtuIZHM+3
pAq764V+exKQWTIcEioH1zK3B2jiCQIFWF8wDWQ0bz2D3uQmlJIRIfK72vUkmHHRii2rpsYWw8Bo
KK0WHHKD53udqIpnSskdByhcpn1V6ZIpU8A+OjStB/q5p0zvz8q8r+K5XwsfZziryefW9oiYVZTC
xoiIs6SMsHcp83tmt/KeiEvjm64SWi6LBeh3o8X9dKywvSJ8SKOkJ4pznr4J1Iw+2q32fhkb2Ggs
npdDpKFFK+wbokQvEEl2jj/wOpgOurYkDGd7cL5Df0cKarTOtdfJ+ElWjYUzNJYkv4xZIGOz2lYl
ihm/qTF1ofst7xpSVWjZciuuqDsRMipCzNIQsHpFeKzb5f4wtSTKuzEOJHRnu9AZO2QFOhUavte+
a2xtn0Dhyfe1k8VPrGbpE6+4/jMUcXFPnwu4c+LERyFHdrxhbZ/qYtBIRtZakKhwjrNHZcTJfDFo
mCeJfW9OHLiZEJGA1UPX3EM711AAyCcEgkBfIaAMSgQokJrbbpm6J+Eu/XdZjcMBIZd3gQm0u7bo
/X4qTdmg2W1LiKdmbVPEkTin2V0tj17T5UTBIY0aKRexwm45J/Wev3iVCWkkI6IB2jrz4YIsapxz
bpjZn0ZQGPZnlWrx4g/uxJvV7S2PidgQ+j43Ngw3K7XsK9tMo2fcU7bGZqW/z5aCbnQbFdplRvbw
MwSVYtcQvGaRtDllx76n3Ah9TLkbdDbUqWBl508inJAf878eppzltcm9ewykBZuwun8p8qJEeu0k
O7tb1EVTsCXNigHZYZcP+QNaW0IvhWPsqeam56RsAZFSwaKuXWfUzhcKd7Kp5G7Ui/GWElbT+HIB
hQ8yhvJnovfnvMCtbBkJ0jSHcACjMsP5jpStpryeVDSRUAOLEFor1WbbYLOQV5E3rxAkaCm4Zdhu
xm5PDAZ2JOseAYidtixjc+k6TXtIvCj3NmMC9+wimwgRtttED2CGFI1vthHr6OSCaS9b2zx0kS2f
1sAxql6jqpwD8vJKfyEYO8RfnYTqHMP1rTcM4SYJDFeNPuaegcoedU5Wn64pz0OnVYceUN7dVHec
BSCaoQK1I3/oZu1Uj011bBiTft+Z8bmiuLoNjd55zZvS+iaKFJ0PDO0u2U959dCm5O4+61TOtjkc
s8uO+YgGdVmkT7HT/VG6lTrYfc4WnDIkMR5x4zwuySgCOMOLFXgtIYOt0S5fBRtr2CJ4YYkpvELn
KPYlH3tagNGgYo6rz9FkkSQ06vKElmTcgkeufBnpaIB0ivqBSlvUPAJoosDNh9IQfGHTJOWVZdU4
G/mOnxB05kE30W4Dx5UEincdm/OaQGCjQfmYOUcyJshq4OB+16nY2zWpML5Ka0JFmDbElqSsTFlZ
uRsnLqN9rMzBb0rpns04t3m8bTS+UCAb9plhXZtT5H0XBE4MfJNN0wng6oYxH2o9q9lK9eqccqSd
cERaY8C4qenYTTJ4s2QUDEqx0ZM4CkYIPqD3eI2Hk5Z+adnT085w8oMWh6ZPgite5dEu8M5lHeo3
oc2Q1nAnlqEF5xbHwzWRJfNdNUaHHhfV5ZT2oHRUgecXmkJGaTeKflSVbV2GYRyz0NbqEJbQCNOW
hR8R3XbOSEoD0ZjTougGXjrjfBt1wrsaJrKtAFDbh5TGPxkFggWTrMZTLPQb16UeS2zTVBL1rb7i
Y03IYCEbjY1d7V6lWt3Q4RO0ItHOb+DOms/KIycCRCKudGLU82etap9r00kh1bl7S0662CDc+y4m
XqyY6JfjnKNl0jl4xptBohSbyAajSGtSfXAUwMwl+ypJIAsGnhYNx+lz5XKIULTClhpKYPa5TYhf
yIxelAFuXGCEWAoC6o/GJsNVfkriFgRCO+ENw/CxZc+si+1qc8iCBlMN2uepPpfIQhktrbMH8+Rs
jcaKz5lS6Q31ByH83pp6l8aZGK7ajv12Qv/Or9fyz+S21dGraxKxSVY+qMQVP8aCIxoay+EA/Lun
Y1Ibt0kHwyqtGtSlU3fC3UZCMtxMvBFk8EZzdXRJUuYFrKUnKI7D7ZJGaqfi+oXzGlsxJK7w2ZYk
PxZ9NSBlQOv4NHQAAKn3XBLKEz6ylXpAXUoecdM5F5Ftjlvydtg4lhGs0KWGFdhrjV8M/RdPry9H
+oebKDEeoYPDehgsC39k425HabpP0aTnyBKbwveES2OxD+XDUuIclktqXBRzdI41ENxI3A7k5Nw3
tv5qspLuRmI16fticY5K45nYuOxoDoX1HZl3g3ipMQEK5o8TaNvXqso1+n+FS+oZVQ8231OFTWex
8zt37kjnIKtZ97vKDb8Mok8xvQ50o2Erjne1ri/lJnOJbNlTgBh3skXEz+Y/1znj0BdCF+hROs8l
PAVTEmWTDHRtoZlHxHvPzAFbpM3JIFd0XGJFUKIKfR5V5VziAK2uB3z8WNdROdPkTGOcScaSFcHg
Znob9CKqIC/Z7pG/4T+lhftqKOPOSkoWDzeOTrBl09MsebmCCv1G47Cv98hSFYL/3qIjiSVYZtNp
wZvNVNcfG15JsPuQ6PbGWgusCrWdvR5wgG4P65xglxfrcm9IdsI03FgS7KkZxkNSUsAf6i/KXU4T
A36bxZXAS6Ndhl7LXicjRhAy/QnrR7cjpMEJcINnp0pS/qs9zEUFW/0tO1NjG1r1uVHDrZdgC83x
0vfhLANvDc+wyOGgMEMDA8Us4oUu2nN2oYC45Nr1aFhPsW61F11IrMLY0DZQND32kahUEJeEKkID
02ha9e2x6JSgctHRoUzl92oMvdtew7+LDz3eRuX8JVU6lbNuNndkmcaolM2XUA76/ejSrrKneWy2
SV+OP2TrDPesfQaiAQnNU5AR09QUowSRLKSqWZdERmnUWeKYjqxI04NnF5fI5PGLLqYFvSceyTOl
YZcDahBReoJcutW9pdyl8Vx9bfWyfJaoMHMf0OHyjf4N6Hl9TrWvpZ0313iUtEPCCw+YluNMBzdN
mrOTckRCrpKAbY+BWGgk3Jn5PL+wz2JqqQqYSaK712ShhpdLF0EMi+1X1ehoYL1IQ89OGfp2mcjU
kTHtzG0Vi/GTO8n+xjAia7lqJpdAl9HJyz1V0BX+0JnEXS7YgvUSJTVYgnjyKwOh5jZe5moXV+TZ
WCi/rvS4kXQeeRmQPjI8zEp+Yocg7+tQlSB95+7APJgDu2l1Dlfu44g2fgOV17gH4480PTKv6caF
X/Op0LYJAbvbVYQb+xmHdO1iNNjUnDOyDDY12sUL9hDdtFOgZpA4xHZ/sgrWH8wUokr2KsTkRpEI
hN5ILYw9TQ70rOBww/YOSbdEXFI2j01l1Rd17eI9BkLvAdwU1PjmVQ0+sy482+XkmVdjLMXDwAeA
Pqj75alfTRtMYywzJgXqFV82t5c4O/qzw+ipt6IaO+xgRUx4UQVZgRfWqljpFTumeUT0b3Q5zbhu
3QmxyjznGFe+WE0EySLtk+5QuaRM1dpUs2l1LVrcSstoE7vmdC/7qqP4JFLsEBzDXJ6E5j0iHgDi
F6kEhLAK1eRTU5vvZkIDUyBAeRws9QS4yWk5eE8kNm/ZguaVP5jV68j2OqBFcLv6WgAz2+JUge73
ZdWPe8JN6lviAYynJGEHDm2VBXtppH7T1iX0FVgb7l1LFAs73kaVN9miDU90w/qTCTm+3+SL5142
s9Y9pZUmrgRRNnujAknA4bU1b1tkuUSVhhxfGviAF5oWGS+Ij9NT17rDvWGYFENxtDFLS2KeyKeR
bmGwZ4T3F8s2YVKOFm+sfqQquDEbTyVXVPg73ideY2YXiW7MctfZo+RJ50kQdo1K/CltbxbVgoa1
59WJShnqAdeYOhEDlG6LLJpfMxAHz/gu2agtdoevjQLTVeQB3N+oJK6feluWuxEinq9I3eFlP5Y+
h504EKpN9pU2uoK04/yiIangOIwIDDCQp+dKLwpkUSgxz+VSjp8gL+OAhB6c+xCsra3dWCHLSafd
VmldXcl5dA95pKsAiAjpuq2wAAzikthozdhdullufqZ6q/ESG6sHwf7u3JT1uOs7dv+UMx2qNFp0
N0fJAFkMxsFEL2Orqja/7DvvmzboOhr/PDzYkex8okb1S29gasBijoK4No9lpLs3BQay4zjL4WRr
zjJu7DDzLQyQDBrP2VJvbk4tUJVLULfpGZDYC3mUejDgm98l7vxVgQnZYoPkZOAmlBX1MKdW1syP
WmyGO6fRIaUYcIY0Bvo+Gqp2OxDNekzbkppNmRYArTywQJE50c3XyWrG68deliCz5xhT3ZajwnKY
m4k4OUdv+xvXKakD66TA+SSaDNndJCNCmyJeNgkQG9wQRM2dNadG9UT7hhqrzk6jjHZ66uJKKBei
nhb+vQhvWxiG12NXrBkM6aPXGp/NNatMakUQW+ayUoq+eujVScWi4TGOkfJbDVFE4WjlztBT6zBi
GLBUcre4AIZLS8qtB+8TZPdyTRAUGoikfqraOrmxFfJVzTiwser2w2INX7SJNohhap9NAQJcLOyQ
p1qL9xVg4c3k9l9zvEi3Y1/fQs/N5o0oiaHb6OtBEKzjtQtpdwspIDrWhTDOqAa+W5rTX+LfbuAe
YAmMaYNR6PGsz90IPgrd1nmoSC1psn+YeP/Xtv6gba3rYm30/s9t6x2K7/j7158b1//8mX8a1674
Dz5CSB26orXKusGs/dO4dp21b22vHn4D5bbp0CD/z8Y1km/BUdAz+QLCoN/9341r6z8k1TUa3ZCU
7DW84V9pXK+K7p91FvjXJAA4HfU4fyvejA8/GRsUdSpGNttDw+gVAfLp6u3EzOSdLbbGCJ8k9o2U
lAIWZM5lH6g83ukuoCqs6lyE8LTgsays+tyfbRV1TTgl6ei8aen/Bc6c2/jejMwnljk//PRY/iBk
+eOliGgCAWxZayzqr5dqzIS1kn3+3tJBt2YGtQCqLVUAF6/+N34Vt9IzbRB1SI/fuVIWfUrpWlrd
PpumeD8BB/Gbrku33eT0x7//qlVU8NPje7uBJr/JEiaDgpCrX3/VaphKKcp3ey8OAVPOBtye3n6d
MGapIiQ/qoT+izAeSxN4l+3fL84Y/MPFUfCtoxgI17vf2U1RGJoVwZWYPG3KFxNJCDrHg79f5fcH
Jw3GJc4EyzY4G767Sqtckw5p2O8bD/MhY7Og8CNpzAxBUuUUD/5+uXfUSe6oXEmnwgDiwTB5E3r/
NCFIgTI4jXb9HvFvBxep+eGYxquryhyubX5hh/gY/n7F32+jNAzSBtGiABX5jXMdRqjyiBvt9zB2
CeABAsTD8srg71dZb9OvI4WroEoho1gg4jPX2/zT77L6kPDvOu0xMQ9EoWraGXXT9axjkWMjKT/4
TX+6iz9f7d1DgzWraiWzfu8Oo74JwW2ogf1ylbyVszx2zmn68vcfaKy8yve/ECWPTdkBIiRkyF9/
4RylNlwRpp0e2da1VVoU18XauikX9wA1ASh3fecQC7WtkY1855ThcsI1D3TAy/3Qe0OAowtlxuhU
36bJRIBjE/hpYLy9X5qZTAuaGXpaLx8sTPofnr8pLCJ3cCO8CZV+/d5ui+K3pN27j8ceOYDFJpD8
1EkOAegFUNytTrSWW45EP6YVZbfJ+sJed0KR6VZXpMmZ7AeVd60jXvlgLsg/fjXW53WGY7V7j2BN
vAy2oMw6eJVRYISR9OMmWpv7dhe0tWo/TbGJkGi0vcwvKfWfpoIDLpC+IQVMTvtpEAUUpjbBootM
woQY54cFO+vCUPOF6o3mysDyflyQd/o1mmB/dCTcbgTDjz24uMducMOtB3kO+67m7EzToPZnNm5A
SNmpS5sWA0FGEmkoiUnO5EVkpZ/ANqGktChazcRM7Bpw7lTWumvKqORdxOTEzRYC2gmKxxmwyRpN
Uw97BEwaXO35NZ3Nu86lcAnaJj10dtRd88nF7u+j9fcJ4krJxoBZj0LtN/ve1CrZy3F96G10RcZn
BGBWHPV4euiXsAroKuv/8pTkipLFWgrJmdt7Nz28Zhpcb0m7fROGR721AsLavnmFdW5MyIowwz7/
/Rf+vm6Th8hqg2fN89j6vNNUtuhF8L323T6Zs4rttzUeFSWNwEVF4f/9Ur8PU5foVdsQUFaFadrr
f/9pbVO9HJIRjPHecwd5UWq1ThQ7ZbF/4yqW7bJNgTLIPfz1Kjn1kbwbuYGa3YhmUzuedoBs6N78
/TL67+sYv8bVdWKzcLPzOvr1OimURN2uSB+YJr30S72l0TURH2O3CEaskMrzZDLwUc1SPHKfgNDt
Sw5nHy1LJpf5dTkFE45LkYgqgFb4Dn/9GjAQrCUenHZvkcCOR8LLdmAgu501drGLrn+xjnpBRlIj
yh9ZOTp3tPUpN6COusyXxTxxUgs/eALvE7N4OfOdHOI6QVd77FnfvVaUpWk4as12X6i+OIqGwqPA
ZL0UXX0VtlW/paFfPWdwEMkk1+brnvb01kYK7uN1LhHjZz8yfRquUhe6yzJ+6RONVnzcVfdzQVeh
6mJ5kCoaT8WcXWmi+2hz8ecf4OE5RAIEjX1N8Ph5pEJk8PLZHbmp0XynGqfa9aOlPkWsYtuqBo4Q
tvQccsfueGM1OSk+cGdj56FtbO/YI/vYTm4zBMAXvdtyccoH11p+LKRcnkwX68JYqRl7UaLxruiy
HVTS6oNXgr4+9t+GxU+/4N3oHLuML1zOZGNoiTqFi1ecEIkSwKwJv4sbFvkex2eSiCNSvDU5jSL0
3yeI+ceRiUhbSCYjqVvvpjsRPRbFjL7dJ1q01sIzV76wrbpxrBYfpye+l9kwPTmGHn0D3N31A3FR
pUG+hBnhKFLtzqBt5Tc2Ct0RYCkqFaNHY8YF9+RyJDTUlP5jJueHpdK5dzDFSJGA69W8J6IWoTkN
UpxJeM4OCxo0HFawbbiQst6iWb1WfnDPf9+6uTanQcJV1qg4Tku/DhppuE4aYgHb10n2VITg0kij
0hbab5hWzA/2iX9Ytm32wJw8LYcPFu9OFDRoQSew6OwrVbzSxw55a2N+sgDOfnCl9ZPejSSutDLr
LeD14v3GnpJyTwFWMpIa9ZDqpnoiq3515c6cJuScoqIStuaeQhvCxN+H0B/evjZycOIGTF5MbLx/
vaM0exEyA03b9878DHL9ZnJq4urD18zpXjjy2h+8oN7zA9aFy4bPhxXF4MBtv1/TvUFrpzhmyHIM
L+56k30P8m5/jabaQgL7AWr0oYyzyVdzxeaGGPDt0Co6YexW/v7T/ziY8JnzZsEd/ZtRNe67QUYD
83d0y84XFQQ6C1Y0YpySoKYoef375f7waraRw68GW87evxEabOhlCg83D5kC354WfLhdyMb74Iz4
x/urU8lgJHF7EfX/+kCTVlfIB6p2zxmZFPlhQt5QJB4mRVc7jmC/6YPSzkEdSLhLqMhhHvQMwLR2
sSz2R2vk74dy19Y5FXIotxx8UO/m64hGcolaRAnmgIEIyDxsz2a5nIdZbVWua+BBchpfTmeAXezF
B9PqPRf/bayxG+Jmr/AP6/1Y69QAYhegzn7WreilchpN0kFR3XVLbxBJm13a9rbs+QDIQjglkU/V
mYStVtG1I8Ua/skIcgjRlYlPyui6Xl8TvNrvfx8Zf1ho8GbaNmsMgQt0KH99ZJHmxqTf2fXensJm
11uwcC1y+pC/yviDW/KHS3msn3R/qMu77vvaD900JNnAgfcdOp9Xy5yd26WIcgiDtvg3fhZ7UHTs
9lpS+21VI29woRVt1XtpxM2tJ3WbWEwnvEia7uvfb+AfFjGuRFmELSLxB+8rFcYSKvq6XCkmpcoP
ice6z1VtBLzdYPZPeDqsMpo/WD7+eCs5X1u0ynD0vIe7KCUKAgxkvYfrjIVYQtKJEZP6jTA+gtjA
xPj9DcFOQ8CjgEiBQ/fdRHJTfDBq0RkiViPqnT3PHR3LyBoJDczDAm5W0xq+zZ4cdpE5jNqOk2M/
BYglzfw2dyWTKzapMR7Dds4ejWqA89zgVOl9yMJ2vIFyEX0tiSu4TIHZtJiMM3yHLRRLsrT4Seba
Y4R27w1y1GmMC3O+kFrk7WNY00uA1SNKABZF+oPdG4tOm3OSxi7R88kOTK+KjM/eqMf5DzuhWKI2
FSeY6GKKGmwTTZw2Ee6cUp+PWUF1bQ88PbcCTVT6CWncpO1bxAztlcyx9tGT7ufw1m6Bnq/kI22E
TN20KeZry0tpu0PuVvCpCklyqzTLZNeD9rofNPziJ6Iqy4PeoD9Cv9AYDV3k/8femfS2rpxb+698
yJwXbIrdIBP1kmXLlrfbCbG9bbNviyyy+Ovvw50T5Nx8CILMMzkIkG1ZpsRi1XrXeha2dkaxi+OH
/oujH2MuWwdDXec7zWA73paNrrozXg+fOb0XNiN153KEwgpBWk+bWhFtuClxMZroDmVjbxrshWyu
UuJZP32wz5A0on4CjkR48BHvvOFTvi4zfU9FKyP5lM7SrTba0L+adRnE24Gu8OHIJnbatcEUpkRN
YxofgInM81rKLNxXHY+obREt8p9J0WW+ahk+PmUJrr6pKGsHRB3+5VXWNC452eEBnXc3KLd5iRq7
eC2MwLz2lUc7BkX2B0Pj6nHa8DIUekG27SZi39cIRzaIThD2MOn3jLzGDdCichcP6uQojQutkT+z
nLiGO9gUgWeTswNJ/ykcY9wqRsi8h87fexLHWyhSby+wChCEx0SX0ex2I0Uzffg9LGlKHfDG++rn
3HruQTlL0/ukV25aPFPVtPVglt67YdltLbNK8SxjexnM1LoJyiK5pViCdINP3wf4tedpdty9a1gP
aYrDEx5odIxCka+nLB/YVNA9VvCU2Ejpzw95MR3bXvQr5v7Uss75JUddmkbRnfJpsjezmeNU6vFZ
UaqqaF/Ky5vRYVTLJ3sfBeIK7B2i5hgkRMW6ec1ceNhEtrYXS6F5jeKieScvbZ6rxMd31WM8ncy+
+/aMtlpTA9psAgTrPeVvLlMquNh+FU1Hx0zto9Q+9WmTOtn0I6VuY9FRr19Lc2hfqzQ6EB16TAf9
Ctq/2o5muESoaE32lsgAKNbgqAYfZJzRUl3gUlYZBtFJRk668eI62JqZAIoIU2YlspBRJOeGa9oZ
6r6NO8bfw7RYveW515G/sBPJNBjVlwQGdyCOkBIJK2nuKAP1LSSDcp2OTCA3kE17cjhD3VYUWK3Y
aXZ0BtRp2P/I64B0mM2X56UElDVt/JZzBA9TFoksJvtF715+1458yzINfSDIraM5xJoeh76msm4O
IBPXNaYxLnfk2q6W50CP8SjfAAr7EsunHYkx38zS7t4My6H5lxTGyrB5z3u4x/WvyZ/z5uDk+N02
ZdCR6tO15QdnA7goJGQ/wLlUkHozTsizpkSkbdND13GlVj1Y1A38UfUjQdW/t4vM/hGVVZ4ex8zr
ti59IXcWyY0dtn38GhMlsqckleaHZ0bsJ0OCu1t/NoubhofsL4wAsYfxMKbHaMSHTXei9B6FyqPv
EHF/wFfkEeT6jSyZdTA9MWcqv7umW9C8pbTeKXDoNhzR3EtY2c0bLOERR7HU+54dy49Ai+wNKwJN
MEZB+0Fvt6cZ7N86nSoCYILCUVQ4xiCZJFhE5Q7fBOL27SvOwPZX24h8l09G++q3dnrIgAfhRJv6
fJdiC3+BA4Szwa9HjLWRW/abYV6AanQruwCXgTfEnueuMzZcR4oUAGYjIW85lYbdLufcVB7Khkal
VZ/G6rmNxqW6w00t8kLEoVKSS4L0X8lo8NhUSbF8B43xFIdZ8giKqcBA3Q2Uz3A5jWdC4fyJ/tJM
dhMTXzpkXq6elT0N420cRfElDaD31iYcjRpwyFkkgld1mnQvzNR7VD2msBU7kfbkNUlygaPfvCPd
2VuEM/cSd9yq26ou592MbxRwKe7bPUHc+EISUvnrxk3cCzdRy03Fp4sI355yoE8XH+rGR6fi7kHM
MC9lyvVOs1zvZ0oP6Kzlohqd0BhD7PahwXj94S4nzHXlzQzU8zZL4RO46cHFX8yyR7GX1YkWJ1oW
nmclm49eN92rSrius++3v2orxpU7D6A3QWeX0SlGjdgPYS8/w1G6F4rFjRHIeRhfJgBT+KC8stSf
dJ8I3Ld0/TiiwD9kRfps8VjGihZm8RqCd0vHOMzkihVqwC3Z1qb1o7G0e0ndOnpqvCS+89yhfvew
c2/6IcEIYdOpRNN0wCbSHcA2xKToTrozo01MnBW6Nn+8CP3pKYDb+Y6tJ8XTwU+TrowvA32R8yoJ
XHbgFR2tF+G0xbHLl+aSPkTE2aQ5SJKk7PkHYCACPAdj0W+yuQE5MHOfI2NV8kVrROvAV/LTj4W7
jiJdUBndL9/yIWkIVlGI8piWiXoWdT/4uDx5k4Vr5teg7wCsZ4n3aIRzW6yaakwu2isplpbwvl6L
dp7uA08OzyY44Wu6fNw23v2zC5/j2grFL8qhc6LYYaFlk5FchOSq4WzT94Ty9Lc51+nemBaaO6J9
dKUaRRxbWr7PmE55xXomDG2Z01NIoPgTXyylnDOMsGRrlHh4/AaZbw3JOapX6C246CrPwPDmGTXo
IEHyx6CzzouugqbjmQAS5u5jqRQx6mTgmzTjOmbp9QTfNNas5FLkWW1hgZ/re8PJEHGVLhZnrAwS
dfScGiBiKPvvmjpYSvPMMlu35dh+Y6uynkVMdYMapfVFapveLm699oHVYv6u7azp1p5dAfftMnf4
ojqCdGtEX8bBaBouCym0Tu7JdFjdig5G68dsF8Y17E1WM99TX1MTtA99VCH8t3Zz1ytNSjnDuGX1
QXyJvDbd9yGQklQGVDLh1aF6AtfhsTLi/gXM/sIvN0hGKw6UpXusadf5Zkft33ImjnbNEHUsYpS+
o5v2zsBA2AneZxn0d1HZxHtVFOogYNAeWx6bZwcozUDAOE7vPSGbHT118qlrFG0w4B96EtS7RmKK
20SqcT7cMHZ3oqHbphGwp22HQBWEKG9vcb1WTDTFJu877kPKr/TVKrvpnk3IuKpEFj3bRSzWhVE/
wmO7Vf5CejDNlLMMmYyR6q27Fv3HHBIFBrTp+LW5dzFHumsSfNF7z5kZr5upcTtBrLpU5Nsevciu
j+GUEr/o03JeWRXDxpZ+h6Ob9ieldbFJuTdvzXjszlXsLzDRCuuN7bAFDBn/IaH+DF1qkXK/mq55
rZxPVYgTgFMYwpoWx9khjF55FqyaXtxMUyZe2G+boLen+iMclzlT3e8SlOVjS1SJaVnChlRltX6B
OxpfzSoZd/7UHLyaZEAIsjFepfChgnH+if5XvuUl1bY8c7hINt5QFnpOOGsfAmWyzvJcHnPDJA8c
GVRMEorYyWFg8GUNmAH1ON7D+zJBQWbycWhJKztjGF8HyS8Z3Mi/H6hyWSFMa5JdkfgZpqH3TEFX
cUhT/3mC8LdHLk3YB7KVW5VLjWydjsltGiDc1JZ9jCgt/kjMaNypwDD3PeCXTZBCVx0VN6Nskn41
Ejfcxlp7N2wuxEsm3H3lTvWO24kFuM44ncYefbVhEYbfBJ7tl6kR1l1YhjOuhVL8aJIJPjB72J3L
2nVTRrJ4tlzff9CKT8lV9H7ufPaF2C872imnqfmaGTURuIj79K7N+BqkFaAduKdVw7LWaNytZSbX
EwAWCsUwxM440waf6J6Nt+tnpicQSGN1gP9bEIwSBlXGFMXPpv3SUx6241bcUfICgIkZGxsyf7gr
hRs9ESBmmyHULmcJhO8W9Ok1MGH65qUT3Ei9hMrNZJu4BaY1p3MvZePW9ToZQ4uhRUGkQdfq1nPh
Y7NHM3JuOK86NfGUURrmLA7SjGY3mC8Vx9LCyLiNmKGp2zDqs9fSFt7etRDgkdZqnlhzg6QxpMZ0
H0ZOe9aI2QsQi1jTauhAqodjal5dn37pDC9ypPq1CmR+CzuxvpEV/XNS1LDCGfCANJM92EWg0aST
DtZkhK8hM1POOT+7ulrq1dx53TYwh+h+TIBqqd56pdCqO9a2/2HN3leEj/GdHWvxXkgqCzMpjSe/
oPuNoHa87f2hfNAeO5ZCA2vGwwY1N54o42M7NB2UXar0ZDj1KDbKNyXZxxwAB4uGV1+MMV7azLRf
X5BvwALZxMdqxgAFixBx1ey9LLPqwW6D8sFL0ZFXqWYBzZKx/yykTUBRZslnG4ESX9sGL9jiAji5
ZIceoc4E42vHjofPLeWQQxlQwVPC8Jxj0QQ8UcKpeeNpiXY2FxahkBhB8lhHqf2D/TEn07xMxCnO
J/lJfrf/lINERJB6KL9zUaEqyLmP3k0SXx/57xaiWtDbJYG3v9t5xyFcRKkRrps5kp+GSwSCXIEK
KZjO3eqxIKXBh5RMY73z417VOxGOKBogMvl6JNRGEBuraO5LvIEERhjX0btrufxM2EzEKvwszN2N
qEy+RpVDNmejJO+SNirsUpsKl5bPIWbil2apqORNOrs950azUhbhkAYe+I7NK688G0CWj2JEftwk
ItQGsetlC4C1n80Lh6nwnIEIqTZeV7JpLSKgJfRP8qhbF9NATKNTCZbrIQUfRoVc+W0PA791aEnc
bEb8nO9/u5guxlgM2ownwXBJE2eab81TveI8Ue+d0I3XJBtlvkYL4tJDoKkeXfxj1b5IM+QenAUY
pqt8yg+NhQp0sUnMW7veBdynu75+dEccFXyEzFvXY9Ty9+W+ix7SkcvIbiQuBqAUGuMHptpefSsP
bXQ12PSE3no0jfzItbL3Fa0aLyX9rg+5H7bQ+Ugd/YCOJvVhQoaPLmLgjz7YyuQ9sivnXadVxIdH
u0plMP8jHr3mM+HeRftP9AZdhquojJ5/P0Nd/0w5vaQr3mx41lLJr5R8NXHYoaNKbggJCFHwltrT
ujC5f0gWupABK/S/00g378Ib79nRuYlosqPpdYgoHbMV8G9tiu2be4oDNw9hnl+AQkxyqRV8SZpC
Z1qEL4lyTPqN2UIWfgWLHuZL8mTBSti2RW2emEl3h7EcAAzGwQSiKk+f5zkZn4h7qL+Nwf7rQf03
HlS8njba77/2oL7oukyr+M8e1D9+5g8PqmUKQKiO7TOKwUv3W0j9OzzJwmm6+DTAl7Jj/JMFVbhQ
h9n34GD0hccZlCEZGbM++etfFngqoqwFOQkyF5ZW+z+xoP7TiMgMTBdxntvVAoXA3HGRnP/k3ogG
JFKY+ePdUH7GssD7/PGnq3H/t5Hi/yOkdV+nVS//+pd/Esr/v1/wT5OGbnIAVE78giAj8h+w0IQ/
U3WXhuSq/91QY5Gk/zTUBEEVMPGB1uzADGfC/0+uCW2h0LqFsG4zF6AHXsHyDwYyqIm8dd9lNsXB
r6SOgt4EYGNLg2dW4bJTOGEEbuPys27JCceXeBAUVfn0gMbmXgfV8IVBKEjL89AJaYgb02tmWlHC
LOo4cJn6xhNGHf3Qbb/L7NQ9Sfz991lbIxJqti9VDxYRCTpgF9KvbMU5Cu+UckJiIkVJ/dNjG9qx
4hgjKuVjxqoD/HqkdpH1q8E+dVaTPtHnOtwUUcspcubkhAat0sKhiql3s42Lf/8Omq07vlMjAVOH
VhVC4r3d0cOIB/mCgauZbzLGB8bjCF9IVFtHxVFoNGvQCwsS2v/Nh/794f931fg3qwagepM77V+v
GvuvuotTZk5fVZ/2+vj517/88TP/cK4DR8OEzqMbJjnY8n84193/YUVA0PRxBi4uZ/6vvzvXuX3/
WCYc83+wSYFycDE24iP6j1aJAJT5/7m1EEpgO/NiJoMnZl7eP60TAEQoYq2DAl5N/DbmybTqJbsX
rAWvJFMfO2UcqkUtDkrrlYOQtRt8vQPkeOoXZRktwD46Y6mPctGdKVRzj5TjUN2rTXhYiz7dq7D7
1hHe6XpRr+tFxzYWRRsjink1fqvci95NewWnXWqvdhHp4O0Q+1fYAcE90ThqbGg7qUYC6yiNi9DU
tltp2PZGLxo7Uvi6VeVFS9vFbYQOnyHId4syDy/E3dT+6BMfHIcfdhqS3V20fBAizEGQ96kpcfey
j188wY1lLzMAf5kG9MtcIFsmBOYyK7A8iUS7zA8QALaCgcLAYGFYJgx6mTWUDB1qenDxUaqRhm8m
Eukym4BFNa+cZV7RFC0Hi2WG0S3TjHGZa4zEZbcFo45+mXmIZfqRLnMQjkI/bc6di7h/Yn9JY2rK
eCNb5idzX8VbPlUILMxWSoYsPcMWtNlLtExfBqOdDo2Dkj/5tXUNlylNv8xrcPPtynB8mK2+vOZ4
5c5pEXTQYPDB0KU3FLdd48Tj1g4Ue5OqzV8HdKYH7D3i6EijXztOxeG5YTl7bB0jegTZ596IXLMT
Nkq3O1B+1rJXadK7ri7G1yhkk4W9PXyeShrBVnU9IPeC2jonKqQedgSP3OIyevDHkd1RQX0ZCrBy
D70TNG9+mrGvzXxVPFd5BRK6YD5o2gUFu9Xvc4JVMFaLzYbkZ2uT9ksdi4sX2oOFSoXqKO2mOnXg
Ysju1WZ1orOds20bVD5cFAq2YSnw/Ac9XNc3mjHpzh797N23OZVspogmNSbN0XMGNuQxcKJyO5Vp
/WjltXXneFN9I5Z9I4fk7L1pIvaRpO7Z6Kb5bFHSY0zbnvHEPdkwoMgUCVeAqcS0lUDw9vNYdgd6
xvHkuJjGAacE4mdrOsWzRhz/6AbfORrUgxNIkz1Xtav5N4ma7rmAxppxFn2uIcamHyjMWIN7XhKn
lR42ZhXrextu4LNLejg/uFLxx7c61lcf1Hm6KmsT7cUbOJfWLqFzR/M5NEHBC1rEDtotDwrqPhQ5
tKkvmzficek+BT6zGKfRySC5Qdzwk754JrCX3tGnyja6ndXeGpzmy51QoaKhJsC9vLMMT3+wg2nF
yxfAJB/iGXYFm2PXWztREjyIaRHUjb78LpbjXeVWww+ZCcA/nsZLkS5/+G95C+dH/+TDLPmm1zWz
j65iEdlg7tcAiOiWy0aRvf/+pmVuz2+bMckOK0ujcqTTGFJUENaXsQk5HXGkYzKCLPvMIc9+GYGS
gQYrhf/QUT11rPNoulqcBDddh5Zhx4MvDo3iQx0GGnKAU/Op2UCGdwXklM/eT6j9MWuPeK6nb9rI
sq+RmQXXsTXKbcI3EkZj6EbvoY26PrplgigdTbyQCviNvqZkvYh5cNczXunZ46zcxmg4ddGH29+f
FtiW+jGNwaCsZR6x3bDwbq/rjCunfeGerXZp+IHanShGcrw8ic947RcT3/qZ/zA5fqNWRa/ttk7X
UJ3uZJXcqVbf0z30Q7Wc8JVbv1fURselB9QouLX7ATUwvk+Uma+KPjmUWfftjuFN6KBj9JyjK9u/
TtJBc0j2vTc/x530Nq45BWe6HVnoInebSwPOkq7XcBTra89zbFjZDmkMK7W8K2cmMCKZdecp1vDc
CuKN5zcOqWY802kJ7WwKqezNNjKqT07lR/dWb0wXa7KzXVDHzHhJSCd7r87hh4dKbDXI8JWPG+Wg
FIHpPsjbZGPQ7FzF01q19heAoPqmTdLmJpsHua1sUAWY8391Vn+oAveBx2SxztXgcJqNozcjtl+l
EfzSAwGVuZLlrlB0kpW6Ij5QOnqD3Ib4ZHe2WjeeVz8OoFXXKsnmz1K5HPKY2i9upV3TQ1XMhuZE
AyHyYZ8ABZr5gFPP2k0trMds1DlJMOvJ0xz1Oeoe80mXC9LLOdBMCvc+GJrtVOXRygwHRCya2gzi
8a0Jy2CqapNaV9M/sf1cZp6euXFV9GZaZbuGMb4aLP3t6ObapIH/ldoo51Rum+8+Uv/GyvMfPTbo
n1obzpZ7nbZxp6U6fSCKSw8zzaIhWIKVmmfWA0cVhzibHY68AWnbGU06jB7bUn4muo+2ZgWjDgvG
SPQrZoC7hoaxANbmbthSekU1ruUB3hvzB75W3ZZWRQu0hxbb0R6qmhOykR1yqiY37MIhnlh28yVd
cOLANAGUEE51mubnUNRQPwIZbjJLvZoRPFKz5mkfokBgHx9+Eeh6axNnb+o2ehqthkSOA7nCZSqy
JmRq3HbCfYrITFA4CXc94/j3GmQ8hyvpbHpMTmc6C+AmhHnwKXxXXX2Umadct8sewgeZJ4WnT2Mf
jcwxbLgz+N+yp8wfkNqkKL9k5GdfqOzFKexAG1DAEGHqMBAyPTHucsnPxkB2QFCbd36U1Q+OYIhN
7xY7K2fxkzVdcNeoZnwHale8j7bl3Hk9CTOXHdYKuMO8KbiLWMn7lNNCUkHDi5jSh0Sls/hM92tu
naQdWdMqkbN3Z4ftsAvitjS5JeLn3puMiwfFdp07jFn4EGtzzUnI2Ko8I6LvdgAzrQped926jb0S
88hjcBrqu5p+jpPAHUR3pFtSIdFGzyEO7yuqdJptgY1SOtuHlXHXx4F7ZKeQ7y2zbrfpVETrYnRr
sU266buC0X+xyrh/Grt0PDSJ3754LUSKgrVwg5iEIuaPcNAFSEBcmse8ZBfG7Mk4mTULWGPZ7aHG
3bqm4itjQqwjpuUWLM62wDwlig9fFtCuumi85J5h3nYRjWWFU3f71sYUOox5tGbPcDvh5cH2vqdS
CvUsmN+yrqsbYGwK28sIVWe2cmuVJlTKUiJI802Xi/1MHfSU0qzcMQhfAWVxdm4h1f284JxyVUue
XCq46BGPUJvJEZdDbrw5NIXSDCK/Rh+mVOvpfhc2XrwbiqhZGQ4Vml2XLljYmVucKM4y+bzyBK0v
lQ+srwkHDRuWpL7TTPtpnMhSO/Oj9hz/bkptii6CINvjq957CFNwTLptrer4C67B3ul55IFPLoD3
ZAMNoNN0ShWQjyGTEUTl6JzG7VVELk2ahNDpYPQmQL943hmIGgm1uwyDrmHO6mrd+ANVAEs6MCms
Zp+XYxY/OF5GXNwe5AgIUY5CwXY1jJhHQtzCLc5DM9bIi2Ohp+PE/nc+u2xVwN3EZe5utcyI3geN
zXBgAOhKU7YahnpTelCXVzJWCX2mecD8cuXBqbUPC8QMBe7BMEO1K6twEYqH8THy53lr6VnexRn4
AXBE4hY58rWdHQAPjXdNwxpuxtz31wSvA9QJN7u0fuN+AFbSVL5W8wcKQ387lr6xSy311VF3uR1d
W90GSjkbP0DeFxOnHwQ/eY88bJ+RadtrzFZla0cMamj1eycgG61aCP0/xz7WzFA7QY1JFJ1KUCPw
EUxznbcSCKMC6EoXcMKjcmkS7kW6NwPqSgygB24ubmaHjTZi4qdvj2oFeau786x8XcAOgyBJC0uf
hicdgwnbZtay6Y8RXj9MRgyffu5m53GsJPt4cCMOTKkjRSePJlE8Ey6mmg0cNn0OVDeC/j7PQp8F
np2Hpijnl6Izi1uZlL84gMbg/GxKaldjvyi7VUTpdJX8asuSp77Rlp8+cgdrVtT3u6FK1a6zzO6N
7Yu3tZlXXntosWv2QFcnzdwLbRkxhaJ24ZxMEbYbX8/cadQFP3vDONy0DcUQc6Gg0oJDKS45pdwu
Pjcn+cBGBo0oytJptzSW5jwHu6VBMYU8vRqLMPgMYpOFQ8WudWVCGbz0JEDe6IGuPuYE6wZDPWcB
wlV+CDnaHKsf1WICchc7ULQYgyQL4zaw5mO6mIaaxT5E7XB+ly6WImsxF3m/fUZuldD2kmUjXCJ+
+aWN2ZRkvz1J1WJPQupfrEr9H84lds+LkQmM9WJrchaLE9qy+k4W25O/GKC6xQo14YnKF3OUXGxS
zOLOeTeUnLOwUHmlqe7jxVblLAarfLFazYvpyl3sV91ixKJvMKJxO33i4Bdt/DCpd0aGcav47eH6
r+rzW6b5d6oPdy5azL9WfY5FkVaY/v6P7PO3H/q77OPDzCccQOyLoyAowX/IPqEFhJ/QzZK/Cv9g
Gfwh+wib/4sDFhVcns/rCUTYv8tAdNR5Pvlt1BtyAEjQ/4laTFT4n3Qg5GYftdhEgFos7gvT/896
ceqlIissmZymlqMsWxGYnS47ypum9Q250pMlsFeykkBgwdWy+Ml5lKrAZQMDk609dABTonVQF95p
nn0RbQtVQ0XpTXN6YHtcir2V0QP3kIdZ99Iyc3TpkHJi0HiAMLlJbanOnKoC4ICUg9uroTRnlBAs
9ecw8/x6JcduBsI/9wu6vA63c+E7Hc06JOQpzqkxJsqoYbkEPfVBMa//6/epqAfwso0hularpFno
fjrA+Lex4lHY59CGYCnD0rsdBafcUg1XiQtt50uCMytKqaiecT0rfWyyTD9MidnfdbFdXpcjfrX1
p9rAPBBMsQsb3QS26WXNtXAbDsTx2G4xxOhDTIz3ZDddemMlwZ4nNhA1qlHqnVtxELZlwiS1h3Bq
wWllHi56334pQp5/qdMVj5aN5zlMxHuMeeVCD2C4wRXp3A921h0VtYCbxLLvE2+WG/x+lA5rnjQT
VVb3jm8Ud041Xl1zlGu3KHB2NZOf/MLL0ewFCIM1y2h+Y5Ul5g1vaq+qc3wue5LGtwxYxd2YVA7v
bZiHszluW7uu76KmK78z5YU7RRR4J10yi3Hny6vthdS084iwIiwNnpG0jLj5DwPtlxCZbdX5YPub
wj2pkSJZH7fhY9ZJ5+pM4XTjNP54j9MRK1uefGSgAn5CjRs3czzdFKarNy6T9pWHN5NNcGM8qHoq
H4suLyGoFfLOBo667rkitOvkD12R9XcGhMZ1yh37xNIasTu3pzuN33TTYCXfWi7v1MA2Aic5in/M
FCDSXBC0TJ6zqg552SzjkAIU9AZck3nS5vBZ8O+X8UHx4CtQSBtExPDq46h9CBjKwX6KsohFe57v
xMLEzhplUG881fvZGKqrafON9r2hP9u5EDeaboemcwREdlve1sAs3lTHYWNr9H1yEllibXBQFi3n
FyU2bZ6P+wEu6c5oAdkDEDmZiXerlGwZmHsAq5krZOsgg1xP25kCfs93EIswJsshQrnz5v7ZoIGb
Q8GVfIgJcfdGKMbE7Ns5egzZfeJ0FwNdx9JduAkLcbVas9hWQfNLNr5/LLP6WS85P3Yf76XfFYDa
bMj9ZWrfwJdn0rp8UvrTiNnT1gtKbx7MF+i3nL51GB2aURm3IwWe2wiO5SYzxRuLobzYTTntDAmp
rMhj96hRM54FQxRc1r7clBHBR4MdsZcZJ5+cPBw+Gwpu1G4Hv+z2BcofFojT3KfnHhbtqu1RYxGm
qogaARR0cFCiJDKfldtxbNJdPmbTWuSZvAaRUzw0gRsfSf1h+51z50jeenoop2LeVz3V5AugbD/n
k3crOoUZhDbrTtNDthktOT6Mon/mdG0AJtIUggkrqbjBailGkwO/sSDPWwuy4L2ORqc8M46+K7vg
gzGUu/W8OfyRcS7fgd0AzBmk0b12gvTC5vJnJRpxdFsO73Nq/fQa+IOrpDP7d9nxJy9dopuuKeyb
uKjKHZFDvtImwE5Vit8Y0uJes+yukmkp36w7bDF+pd/nISSQFLE+s8Huz6me9Huo4eRhRjLbR/x8
j5XpYdWk/vNSo8Zh2A+LobmP3QihBO4pyUVb+LR4u8rEbpHVxyZXGAiZHQIpaKrw2mf+d1Ob4zq2
sQOMSUCHPSlozjxYo6n/8aqyjig1IrdGS9XgLnT61DN21oyBOLD7cqcTHBss7uQipuE5KbS0xEGr
qj9RYpgMPFuM9ldu4PmiziAjhTIlo+1d8i7AuklHVXDIB1Ba50l03sPEA/vR6SJukXzkq3fsUMFf
JSi+UzKXWq5APLgfPd9+0IMEzpO1ZUS+wNja+NeWXIO9idjQnmooOyeq0I1dH2YVWNe2P2riL5ek
GIpHLKiOv2JI4u8Tuo3GdTiPyRtJJblVtigPVhonPwPAKCG1qGwdGT704hw7HYw4XzTYuucRmIZq
Au4PRym1YqLAZpyl/RtKsAlOR9gQgZWU93qy6Zb0MTh0K0rNGo5c+GOnJUQ6wHZ22p9tZ6ZvPJPR
m3EP3HJOLC8Um4ff5pQM+POLyLka2C9ejLyY70qTtj7LK77K0vEApIduyonXaQc8bXRxxEQtjm6t
jiWr7Vqyf9AbDdgRonbEVSSMnATPg9LuGQ558WlkZsZJZ7AZbXqghR+iVnjPPEfCbTPNHHe1to01
MkoTwfuwqFju0mn6ladpKFiMYgSFvFJLZJTdfqkT4z6lzRPEgVN2b7j58zunaOKYb3EvAMSG5cyg
qc0/Rd/mgHnx8ciC2gr6pqJjbuUl+lbCzUpTeHuZW5r/1nKkSGFlE+4ot9oOzdumSMY3F/DgVwTB
+z0QWM4qIwtJsMVhDPqiBeXcWZm6JwCEkcSRnfFLmBrAC9YxIryYQ2FZ46Q++MbYvIfxVAVrPUfD
sbF6h3lNmrWULfhl9tIGqaCdo3b6K3WYzLCMyWkRd5riyD2H2WSwzYb2EWC4kE+TcOv4nflGLVAk
tlVq5hSwKcPdD4VIrxGE0z2uHp/6vqFC4g8ECoCTZPTRWapcO7ntn/XYtycr6SH4NsLcaEUpIc0J
6PdFMy95d7FtTfQj3NoUcVIKIlbk+R6sQfYb6brhuTAUxxCfE9Jm8rPmKH0BFq0squ4t78Dprjge
SWtNCrV+pXqzqSigCHWLM7qdv4hUObeROTYbx/Y+QKeHT35SlT/rWNY7agxVsWGJBw+uVc7ZnAwU
K6I7afOYEmy8DWfhvyu3K5CIGgRtO3ZpCNSOdj78sUugnVrOc4i6wSi8dGC2gXNnol5T44dhhv+Z
03wcHDD7QRjPo1YtcEfrpwqp/Wwqt3mPRdQ/uP/L3pksx42raftees8KgiAJctGLPzOVmmXNZXvD
kCWb8wTOvPp+ILlOW+kT8n/2vahyOCRnkiAIfHi/dwiBrLbZ7GD9v1JAHsX2NDCX7A6v2kqJl7B1
WswRsaW2zjjwRZ855VUPwHd+t5dVMp8P3bAcjziswu3UeLmWyFFOM2yL7XVIP7eVuooX/O2ScoQU
aB2BLibbaunDG7cPbZIB3XgXh8Q/7zz6dJ8gxVmbQMTqmAhVIv48PbrfsFchSsetm/ixcheFCUA5
cQAUlhR4/HWpDeMzjq+63lkBU9fo1MkKegkuxoVrI4v9YNvDhbCSI3/Q5fckcwbEfoOvUM/hOrMZ
6QfssLXUD7Gnom++W0f7sSaycsPTJPup0e5wmThzfhpTZgEMRx4n6hS7SBeBkJu9NGAx1Uab/zVW
UrC0yOmyRgH4dxHNxT0OocmxbUInMbIcLnQzk14i8BQ6z3UZbmObGrGc4rMA1nm3r3Q74EodYh0K
rSL/3NEB15skIu+I0AfiIY6axvGP2mhdz3NLNGcTXLAL7rC4cNw0fY7WtKdV2vcoRNpxH4eyOm2L
WO6cfP27WeZp2ApH6KdYtupatq31XdipfnMP+z9uxJ9PyZARPjolVy/pU/WeG+EiXeTU/NT1//1f
OFn+pULCoxUKeqBvQ5v6x9Qv+AsEjAoMi4/Xwy4/+ueMLP5S2JfAmFKecN9U6v+ckdVfMIRRulIT
/0x//09y3M1p+1caEk5iUnAVsCVYtYxjzfsz8sBpLV2T2TJ87Zn8hwJr9AyVEPRgm2CXhE4HerBu
QVs5WOO0zWNCZ30YqZerH7lYGGMWRqhtOr6oQZSfVlqBX0M7gw4ehznMav5VuZvriDlcrdXX0osk
3ELhfAIs92E1cEK7XAVwNZGjJfhcFxY+DdrgTsE9vNXzMH6yx6ey1rwzHCwfe3otX+o8HS2YRUW1
ciBpyAss+nLGAAtfU6rrGM7BHFbUEbLHmukIG/T8W8JbHCMuKWHALohTQAKXlM5UO7MCFHiaGg6F
ZG2JVnfnaSfA9wh+FUdKGWaIRYNMHrehEfPgZpdcSPr4wREbVgpVoCp8ucWPu342eocvdW+vV0O3
2NtBFt15HHbTMxq56gvROFA4KWaW83TK2xvMh+MnJ3E4GWdOjaR+oLlMti0aYRuQLZiuVvjw155c
argRwdzC/CwnhV1gml8FpMXd4E+17pul3y1dfarUhJoB67btWA3oR9zleHJSdU1HNcT6XpbPMzmp
lGNlcO17ojmFHN7fyYXuRNp13RFmKfIkWhtRoNHJqzOvJ1QvI/n4HD1CSmgZBmNn41rAbbVj5Byb
1GvVRWCXTrXV1lI8yrIZ7rAmo5IaBHo/ZMniM57k0WeiJUyCC+7hFWE8F9MKQI7Zqo8xyeJupzla
L9ZYDH8X+dLgH44K5mKKdHueYNf8I9Thinp66a1815F48Gl0q+KoaUMTHUA4WLURQo2XHGe1IPdw
yJ/aVwQZ+r+HrXFJw9NBxvYVX+OiMPzdttmQBhxfV0FYiRNYe+lt0uTybwci2k24enwbuSD6ToDj
74c2cc+Fk3FISIY6OeEoDOy70Fpx+rE9mXDlvY2TEo05soUvVhXrM2mX4fdJT0rvfbuMKUPkFKRH
UHzCW4CfddrCzqmtz1ks/WviuEyyUwBFaBN2a/7sNjUW0kSQ5+zepOWGXi+2bSmqe55jThOwS67V
nHWXnViSM0XDNjwS9dRekOLu7ix/iUsTlILlj2xtI9gjCdpq+bmoY/eyHd2BRKq6bK6yioQ9yH0l
b/nnmeQLbJKLOAxdhmfG85AW75ja/FFXIu77zRyOS+bfEh8z28VFBQpWwRCER0M484S7UjSiBrld
IAsuZwkOISft5F+LgIinxlUrZBsOZzD/w7u54O056oiv/xJF4YJfYkT1pFCodwQaOPW2KjvvDrUK
UP2SCnLo3KWlN5jaVy7H64ueVJJjF/3Gpqs7mtzEWR+F0ZgfIRJlKvK+3EbdDPpF6EnxQIoix1WA
Cju7Vild7nDnNhzm79y1g7hSAGJUHv77rXUyDfrRpYS+sfLAaNjNCVlyVB5jcg1rc3ouzTm6MCfq
ZiiXG1AK53Qw5+3anLyDpStuJi31bfHzXA71S4bFEYRGskY4vqNRSTeiTa5IvgQP5IRvc9QfszNY
83yStFqsZkADQmAB3+ADHkBBRnTRgM5wI/BM52MMmmBwhQTDVhwLwBqEQR0g73afUoCI0CASsMDC
IzQg1mW2iugkNqv1AoRRGSyDYGMe8vKiu/G8XxnDqLfPs1cARIQ5HsRd8jC/oiPAJIHCqr8EOKFx
ihdK6tzaBlNB0vbIse+TP2XZdQ/sQtdt3jjLOQnA9r6067sxJQ+xnFW/nQxwg6xt3DmvaM6AkO1E
JXSAFgP2DG+4DwhQm4ruTEvc/w04tODTdkzOnLsTHUHGiA4Ux8UwT850rIixwwt7/ZLMXXcZzpO7
9+lmOUwjkhGBBAiHcDAAMFAVwuNjy6usY5dKd9svOD8vr+hWV4txExjIqyWP9FauOk92cdoXN7kB
x/xQv6g6sc/yNBbnaxm2R1Y3BSUq1xkPp7GCFIMke4nvFX2SHRoKCLEGjlsNMBf78XKFSBw3hVHo
h5XwyK3luaB7YXrjEfTMKwHMp0G9QFKA/nRZlHdjEUU3ngEGXQMRerW90GkZz0POHrvcAInFHD0l
Blp0DMjoGLgxNcCjbyBIZALltpf+WWfgSYJJWfkt+2/PQJc4UlCbZjNOiZiaU0Gq54mjxW1g4e6N
nHfZy2UNURqo4offRdXVOh11BiydehfcVBsIlTXGusj6FFy1Tcr2FhZbsWsN7CoNAOsZKDacu+TZ
fcVnw7rrtiofbpmExVVY28U1sivy+Qy0mxqQV4hXQy53Z+DO09JAwQWmbjtrMPDwJL56o6Y+FlZ+
VxoQ2TNwcl+77b57xZhZDg3ePBLEgrNLtV9e8WjPCAsNRG0B7Z553bRAiknnU79ni5zz1T+1iMcW
u//rJv1/dZOgoXxUJv+/4qnL31fJr//iZ5FMGvNfdJLo+1BQ2Tgn/quThALhLxdusU0XCSdK6tR/
FclK/IUSm1+ni4RLrTAefz+LZI8feXR9jP3iW+H9nzSSpHhXI5vL4QRF3IFPyriLkuFAFoAwbikR
vLjfE5RgGdS+NZI2HvCO1fa7vs+c5TFDRdjvuwUBASYki+c94xraVGy5GAM4+8YySp28DSyavRVv
MtLCoICZ/KDt0soWTEsbn0z4NCKAAUakHBFNb2UxLCSIwnPooJgAMykcLGwSBx6SHqXuUZHhxB3s
3IXNwijdbS84lh2WZd5mpkEd6i3pclYQ7asx62CfLOQdkrbxy4P8N5qJA58/IGcUHyachv8g52M4
/v4EQfyYwLBl9b433QTCSiSSSiCSQRSQ+SWaXyg021mkVfmjRVO03LsK72G9dZJBcz/Qq+P54eNL
enUM/V9tBZcEcwmdp+sFnk8L8tAxSmUO6dmdjl8ErZb8kjjdOD9b3aGFWJpA+YCcC0KBZcUmT5pg
2OQZSfEmt6Wp86d67hbItmpAbHlW2GOHLhMHpZVkNTiIMO16ElPXx0T7EaRYf81b/2pdc8JUj9C9
d15LcdwNkJk/vqn34heo9Qyy5+LKbHuC9uihKyuCqTkF46y+2xPBuXdelVr1bVlE9Xr98Re9Z8+b
L8Kz1MVr1sMImJbFoTAFkQf62jl64TgLW+uoKSJQ241j84bPUmXupwmurUxIJfQKOjEN6M54m6de
9SdLOMPT/+UxmitBC4BBujk/0xM2Q/KL3od+5WKHc+a/jGTs+lce8aVUobq08Mw8izt/JZjz43v/
bZDZFgKWEolkSRlvrvffaInYUjU92OdiaA1Xt10awGWK8zVapj98l3kv3t8dC5eL+TsTnv1MgRn8
encOyuO8ST3nZRYxcazfHaMfJFergTh4FkNXY4iLxR+GP9kp/n6TzCFMBn3boS/8m8kZPdhO47bX
Pc/QL8nByFQRjLeRYwEy/eEeDyzmzGQKsaEk0cBzmFFwuN/fZFbXIp8Q6b5wbvNKdUJ6WvVQOD1r
1JazeRQ3n+Zwjezyok515dtH3pjk62PWqaaRILMsiFDIyM0MbzI65tIlebZyioscH5FgOcET1YV6
/vEk+O3BGCNbKAMYpglbIFt5f83Uv4EDgFo9A2uiH9hoK8yzHyOdMe9zXZc+kST4Vtf9n0xrD/y9
GSwv5KkAw+Bij5bycNmKLAwuGu1Z3/AlEs66DWmfDlRPQUO3bCskncqC3Ck3V08L/mMztabWOkQJ
bc3OeI+LwQScnQTz2n+LOc6FILo+9biHUWYX7P4wSsHh68kFKpwaeU2QpAXi8Nl68UTrfND1N7p9
qHCASJZ+ve4IEmNSrQs8ufE47JrOv7JklPI2dZXrshlU2LOxWIa5Gy/PTMAyo9i0GRm2PzeHXzEK
vMZ+vC3AbtSwunDwiP3POEWjZ6cvqHJmKuzljqdTaTQaPaJkEskigNfILNEWqUF8oYMOLbhBv9HP
X7CxooTYoIwmunfnZBlY6cZeU7/N9o7bkr9DPTul83XjuxlGbBMsf7AS8vDWa17/0MNcitTzR02u
DtcomiysYORXg/hMfk2TEazkcyx8XHupxvtRt/54i4av4HeTKmMF2SQJEVNU3ciy+eqSUJgcpp5s
LF50iGs1N1PbtKA49iQVR1LYIZnDb0LWiPiV1FddidwGy8r+pp9UyWa2tGSh9dtO40S7HGVxyFdb
6US24WaFP8K3WfiE+lcyzNP2Cw0bbzyJ3LFNLwsXevMxWMJcnSc4IA9nwzzMzKU5QJC/GB8vsZwH
Y5ewWdqw8/ijDSKHtw0Lkr4jr4eQWXLQft6ABxGcW63IFPCznY0FNgPq2RXTr5tjs4gVpbKRELRd
5PNHqpoF15SuIejsn89om9bSRzKFh5PAssfJHgQvWT3GYJDpwlfPTcLiuMiae4rfRtWFScDIeQHn
cRTGU0/2WlXoAV8nkYTmGyVywuzH0kQ+w9IsquX2WOjNdKlpfmQ/ZI5TQXeURX5W3lZkDim1z6Q0
06XBWIJ3aqzCkFkTOxqAaitnYsd+kEAhIrXv4z4P5JnlzukCk3AeGcN6poFSbD0WRhHdBYXtMyar
GoJiOiVkfSQgKV5xWAlgfc8QTncLQUvmJjJotPNlK6MRQVRtwYZL8BweWQWO9EoEs+EvRmb+atm6
/C0G4pHjGYoRl0/BzcXlVRgypLoZT75X7F2ayAAuiXB380UQI8y1uGEiXX8LGYtXcAnanJkiV993
T0ZIXVxeVqaBqdsiFBPpVeeSBP05HVz+gsn+oriszA3NGLdjyQgOtCEYTlgnZs4VlIDuCUJNl/GJ
bagOiDworcf7Jqj4fyvIJCWiMetZGygdV6oMd0p5zxe9rGbxSAhvespaqc0rjdSFD9W2K3gSnGMH
/ugbIcd7BamWUUhqZUT044xdQnmJCYvgA1tNa5N8UmoxM6sJ7tP9DlOsVXgn5Oai7IGzcY9DZRqO
OxFwcmRlSgr0DmB21t4j9LyR+56zPa1G5jb8mHjENOvaW5aZ6R90WKsSVEtmNDzvdplqIo09bwT8
hFNVtBDyo0ymn2qRpDgHUaubJwypdLERZvEuj9Yp/CA8NTazhi+O6UjRddZ0nmPczjVGVsezaTH4
rb2nqhP4lhD5kWGOdheWbeRWV7UB4oKtb6fQVY5YiFlujnroZ2BlcTPUISAidfs8biLHR/QSyWzw
aDfTPXRz/3mdMF2hWybchXsOMw7F2E7oZE4SImjrZBDqqp/Dzkwegu/NTOynpW32+UKaC7gVbVLm
EITNNo/PyThb+VnrjIMWwNaSpRIqDqO0K3HkgLox2xakhKtu8ulA7jMCmnlKxMA47AU1sDafFba2
WQUHBp+Zi/tE1I97u29IvSRvuYNRu+l1ZNal3B5Bv8OeFGu4JO4Qszw1Lu4+0zlxwqwOI6PIuyCc
vmNCja0GQz/l6UNtOQ+WmJkeFICt8Tm9j4GvdkUxc/0sl2xHENPAMiDreDhFobUqzCbb90PLdJx9
L6W9iyvewvqwBInlfoKWpOEusER5aKvaHmrHUQBTBVJDidkGJqtEdSzPEAE5jfw8h7Dqm8GZ6lbW
4XGuWVUxw0kyVBMAingmksFNUMcOM7gqOnLJJ2nvonbm5gmtLVjt0VIqrlhlE4rKPQwXxYudDSvl
NP1GUkpy4MLXaV2mMLtZZNxaMnFXwsC4cr+2zHLfWQGblsDUgTGWSocaM6GliG3eTytOeXPdIPIU
IY6JUKSUpiy7O2Bo3VvEdYrF/2pVU6HvbFhG96HjYEkH+b9NcY+rSJXd+/U4NM9NyR5zruOSIM2I
K5XbumrS9mvKmrvipVHVxQtczVXfliYO82kCLJo+rSEJaya3o6/PG+lNDa46uGOa3A+Az27YT5MX
jFe6JUuz3kAsLsWFLNhWjxDNk/Lc8ow0i/wctCD6STVqINCYAGhT0q96WoqNq+CthRDXrKX/Ejpi
cO/8ol9cjOBbF7e/TVjgv40ALOT+6RktUdyf9gk7WbFVK/LeFb+wYrX1PnLot5/PvBzDxu/zywk9
Y7PHkoVWrUeBtt7HRO3VbHx+r866ZRkCiDDYIm1xXw7h//hxjwzIqh1FUIpSqOHJxYlPlCN7RPb2
tJ5HIZj7sZhE4uyjZhag770qVpJOI+lZ101el+4D1mYY1BzbDSQOYGT0kfP93M+yv7S6vrJuXcvt
1se+YlbTjfd9cEkFvI1epfeVbo6JB43XmQxg1fi7EGeP/DhK0fIix3WDkizZvJZOslV67drgmyiz
oHpJnKYeZ9NzX9rvYeZJXM8G1dQKqkvn9bg/RVXrBbshtz3ae1Fp5f4VnGIrz49HH2+DIvmeBBWy
ErGtA4yeIF16PdKNI1/20oqvtMPNZMhFX6tvhESRL24RHtW4GU14S7ItNSXdJ+8Bv/+mcXdNNOkI
kzPbjqlRltEon/CgnXhhNJQM5n9l6YwKSst5NNtKyELCy90GpnzUbOC8DonrmxWuhM/MUpJaC0TQ
fYadAY5X3FgzBecrhHlKUmzARrYeL0FYCCRUeRgvHi9K8Zn7AcIRSwD2M+bkoDJB/i+kmLEswuOh
LVP/s1d1FZciGkvl4XFMPwXb4aH1WCa9rqOyD3KLUTpG604VPNnUbtaW1OKGtSwL6HpO5/C0IiSe
kr6JDX8Yz0R5giy/oCSqHM7Z1mkJ+ZgbpS5BHoZkr9RmQSwLhz16CvA6nAh+DHsGqKlwAi+2QTvN
XKmOE8V3D1iN1evd6HotP6ujcObDCDug6wI1s9ZcPxYTZp3MXVXwK04mQq6oipoOdgItPFOv0qRh
tUGOqf1v09RWeNs4+EJdxDXtNQx3GhIv5VnVKFOyINkxY9TXld+LH4NFBwAJZSGMXJ79ENxgA/Nq
ZmxDW3sMP2v4YkqkV7jH70qzS/3cwVxRM4458DMrmh9O5uqFpOWGx3qM02t9vNAnBNsbLAaWZQb3
iWY7dCiG8pN/RgLDSJx2hoacNvChKuET67L3S4zrRLUEtDGIbmXIUszsOLOUc+R9LrQAe3p7jGyY
Qjxy/Bv6+6CNZu5YZhVOdydDN8IKuarifJyS63XK7Cj8MuIxlOUnCcqqcjpFme6P96tyTBUrVhTa
85HWw5gmp41dmaLC7rOUEnyir82mGPgtk6UEr8O0J51srfqdmztUKbTHTTU/1o3W3gmpyt0YXBMf
7NTphR8pm+tZVsiI3ZGUuGkjl6RZOt4XnWteEWicBvCqspZfiEbXFGqi4GictnALsW+MBjIT0Kap
gjo7fttdk3Gk34kBLsInpNKyoQr0pTb1Zu+b+RgVGVagW/TeHLWjlXbCAvl3Mb9NVaLX66kIFNul
SLguZ5skJJIDqPoDnp47IRtztW+vR96jcbovaIPwUHXHwldeSLSe8dcxmOJUn3hC5ejwS9jATNN0
oSZAOIeBAQ+8qJywuiwnEY/9Li5gCJJu20MmpKidahyvt5AgSr4LFSi3YDdjasAKYUrrcEQqdxur
MNVPox5M66vLh6ZnccHSQV64k8Aud4NHL/OstB1zCMwajxObLRDU8Bq5IeUlB0+ec79463IuJ4fz
k6/gtY7HsyPb/GlMxMyg0Lk3lU8X2yO1RlcHmrtFYpxTGPw8EQcrjobjfsaJndNXFbeSv8WcWbCE
tCxrfsZfrV2vbWtExCUTDPmC3ZjouLNOAr+Rw72/FhJ5vjUJxh8vc3PoxsjLVGF6RnKJJ3OoTSEf
07Ae76MuinlqPdQnyvU5sNYQwfvoVdQooVevj4y6WXFX0XLmPUWshnecOT8wnXycsvggjf6Vj21Y
k/2TRhFXSFCgmpn6J3Q+kc4tOc2257dXD12jKa0KqwwrSHdIArt219NLMxOjmgx+ZEUSWuNGKjuY
qk+2O89Vy4Cs5sTtIU1jICeBVVd+wmk5bi59P3cpXhd0gMdRUs3DjY85cncaDDMZLkHncKZgY7Nc
6gOsf0mA3/s4+/ExoYsVdnictZWpRB2YXqwz09upcc7jnLe0JUmCRYqCf/Ah06DVKI4I6jWnwLeD
RQH1gouu19kI3nnLFmOGGayceN2Rfv6y45BkM/tRMVQ80lQM5tIHLCwgzkCHRbZ2hIjDzS+VkYXw
i+vCjFpgijHXeh4j2o4577AB3fgWnXA6Awm61idZz+aEvrytHHTvTKFbitzMyo9Ro3+DGQVggqGk
oWO4TQd4IG5wASHtxfRtjnpzzhwTqyAszqK/X4SQhTT3+4evPIQ7gakCjqewslzhBBRO7+G8panI
kev9/pvnT6Z78zY1Cpxb2bo+vrvfvwqHG2pcJFEO4PlhJI6TxM06gk58S93IrE+170pE+jOLNWvX
x9/1igb+ih8LoGNFlImjXOn/3pXCPxd2cJHLb7MsBw4yQ2J8Hrde7ya8hjC0BHvh6tcsGkPlejiB
D2PRBsRH9aSrX4FCmM5GyJHXrD1vK/PP3kelY3NEqJTXsSegCp3428eX/9tQIfvFzCsktZbjuGOb
n/+C7c86Kvt4Ut5Tn4qZ62CDMsdCNleOUB9/1W9zTgIME+jq0wkiRvYw1IMyCqc/CqinMIEfspxE
S5BNj2JV5hXxo3j645Q7bKGQg0jalOOQOwbC/hupTrcdzkPg908NfsN8eo/LyHo9wFFlg3CwW1x2
UUi9TzGx8PfvkJht/YnVDkvej+/9cJjpmnqe6WXQJvUEcv/3wzyROT7i6yq/gklwdFygFy/PEIHN
cf7jbzocZceTNncLL4pvAxw7QM1zCsNAYoDxFfMDlV/CAjcbVJpxUjsZE8dUjR9/4XvmIk0TMkWA
nWnyIj+kaDqYQX0WrCwmi/4Kcd3gyWRlmGWORRHTJDwA2mLGNwejkSSEgOAl7IwfX8BrbsqvbyCl
lnRIVvHQLP6b+B5OiUY3rqqvbWIv2OvQy1rzI1CPJMyO38qWUSemNCY91qzfP0Fxy0OAK49KHwZc
cjq9DU6ZwU8Br/IsUq0AV7EmkXQcg4otoSP18tUepreCaYOzZs9qrSbPbJYjhh5jvUsimxd/Q46k
wV97RUTAs5g0vD3KNyC6o4Bi3ulPU1rLRKzXuWVqq27sTNllaYcQjm2XtmY7R+pAbaM6abZ4OE8N
l6XeAPqO0p5VM88dUzRlWNOZ7dURpliOsjJjJbE7sgeAx+JMg0w64zwakKXKgWU/Hv7fJpxyHROe
A3nWkb9P7YGTRUI0/PKlTloEFSdxg4lFvQvX3lQAPyHrj7/SvC3vHjhLLcGR9GjIbQrUYaogjbKl
b7tg+hLGvsEYhzT080sT1ppbV3ZncwUbZFIDh6hZRKYotIrSXM3Hl3F451KidWXlNAbgvHOHgZlE
IeEbhszzS14Df55hCNqXD04+OfrC6fqrj7/scAVBN+spCVLky4B+5WFIlC/sGF+xrvs6tk22PnqZ
MtMiyxpTWX38Vcas8tfx5dMDBduZuHI6b1LaB9VBPMErLKrRecCl1cacCfiyj/cxMCon3TSb2B1Q
z64lfygAG+bl7MnwkVLY08ixgHWBYDjymP59M8mCOlSsSGDu7TTmhJIQzIv9Qp0lBtaaLQMDBL1f
8xKOgW9g4rykO3I/EpPBzVm5x14UxxhasKyMWHxwqhK4OrSnqCPSpdjjVQOj8uNBOBhvxoBIYmnz
nroKQuDhGHhe3CPeHeaHocSIOOd+aVXkG2siNvfx468yvnzvx5sFzFM+hAufbZE8tIPdoW7AVIUb
3RO+8/pdgwd0mo+tKfUHlnqWoLfeewFJh1Go5sqgpD//pkcSIFIOCDaD67nK4JmcBRtWOqfsIhAF
CxMWayXnt0mw2k+bEtXnItHYyCNChjgep/ghcCz52fijW2SaSBYxIrw7a2Cv/GysS/PAV4iQ3mfr
tTuu3qCJUYCA9jvLS8yTzARVy7RRIwt/vcNJ3gDLP1tovJHM3YyeB/teRFAzH7iIcgIC+XhIg/eP
j5wLI4nHBtHGy1DiV3owhVvuYAzsJnouRqk+Z7oi5smhPXri50HjgvEn/R7ftBCDtrSIIMZG1Unp
5MXjGKf2+OqoS9M0lpiOLJhZECrcPkScX7vrYu7GZJsEo3OShtlNSavteWzw3d/42kqWLb0c/9OI
DPg8sdPukh0pWTmtJxg1WF0m/17pI49nkcb2F+O+0HZ3oIb5o7VaPYeDAuHhtgv1tcuulO/dwpKX
atHjrm8WZN8hV4hzjHtWFA5dgqzpgfPqfKKF14viK6wJ/DTmGEe2YW1tsZONVvcO+/NTk+C0vYm0
nwBhxF137GRVdT8pOTymUmLmEtgWBtAWuN2XfAg7VMmNviNPoKMsioaTDArjnjbB0mDARHMZL5sw
tTaDW45nRYXT2RSOADZJlv09BD6q+yAaiN2YdH2/ZjivUH5aSG8sy90S/Xnj9hjSOUvffRVqdR8S
OMbbZPbL81x1KSaIS3r+8Yx4v1gzIWgrs5h5lAqwU9UhnYYUkly1Xly98LzwW3ci9BJ+UZOs42vb
f/j4y96/0G9fpiDKmW2eGk46719opAuUdjqsXsjsK+EIzfY9qkqn25Rlfjm6Eq3WHNflDS1Clf+h
Hvtt5r/eJlwdWjYs4oe0icHrwjp3dfmCcRIHV6SNOfYmEguFP2wTr5/0v9vw6126DtYOXhgKNuTD
Q+TslLkzwpV5EVPNOyMdY+pNCK5Id3NSqFus0KLbtIusZmMXXohgb2zS4nhMPXwQix7aF2Q9/5P2
dXhWWa16YL+FlQ2u2D+WJcWL01clMs1euDf2mFU/sK0OLirg2ZvRWZy/w4xzKl6LwsYTPI8/ydL4
8Fmq9EFvcnpxYgoB1nS4vGR1jHC+HfRexJ79ZM+93K48vz/UQgckPIbElAGUQYwLccHOYUkgLNXN
brCsLy6+Nch2UpkcEzZRnMzr/ERoXPFFWuG8G5yYpkerLf/EJQWj2n08/Tyzur17MsqQNQ0fREAc
8w+TWgWZNLQPEvUSDzQOgNN0vplN+veuo0vS70a3nE9U2WMClVoNphMg+ic1uNXl2PgjpuEqtj6t
Isblh1Qg+hNR+BXtW+VtdW5dpkuFCFQux5Us5T0YaPGptnhoG5/G2LJd+5m2S1Z30VY1obqlbMQ8
fXLTHwvCwCupiDjKQYpPUpJJPpVeT0ZOHXXDt6VIhgcbb7Ybq8KeB+cxMe2l009Yyus0vseRJ8m2
uCZwA8ksEJL3MS0AlbUZjRD2xDuM2PAeTRb3bwGqHSEjzKHCfzy4ZjM+HFsXdAGfXE6zyjHv3y8n
ZoRJtNdsFb20qetdWa3MHnEIXRaikSqblC0TGvDxNx4EjDOrFMcsWLfwkSQUvMP0W0y/C12ydX7P
msw9AzaD7R4Ni3UOUJntaUT0rPRerF8aaRePaTyjw09D+8YaQ7n/+Fr836cWpSbLpxM4KLjFIRlQ
T6VHPFhVfY9nGgyc28ksqPWKSWRbklDX2rhmI6iocbPsPbDCHXFF3kkCHRbN0BSS8FoTFbTTta8+
w+/HFC1dgNArq0sucz/tTlop5yt/QMWNbBTNTq1Myku3CIcEgsYusToSAe6P5eo1xzgRNvss763L
0BcoOYEyrAvsQRYk7RPbWUag1D6e2L23tUjzi5I2LxWlLLETK9oCa7lxyujh0vR89EaOptQi3V3v
zNUpUiKpjbmIso0HnlhNLnl3LcO0ouUKo47shpm+Uu8XRbzt4D5cToTAd+SvND682sCp8TcIEBUf
237s/N3rOv2MK1X/w00dEj66McPD8+On8/v6w0wJIc1BXSMd6DdcTzp0QvN5yr8HPvjAJiQr6xss
D2PiyyPjTKVe1g5XAL+yvi1jNqF89sfmT4Hf/27CBoaCzNYXhC7YwPt3BKZUV3arKr4jcMY+9vWB
+ESAFRgD+/3eJiLjvtXVsF/8BOFtGM1fEmLSG+bJKu7/MCb/5oXFCxtsmaUDruUhY3ctBxLT5jz7
Hivbv2t90d0S5mQZu4P0nH1xuBqKtj9r3Ko8LWYpLvtKsZGpop+vU5UEEJKrabwghUj+gDnfepug
TfO7P1zlbyWD8uG7YqzvwJnmUHkwZGMZLcha3OE7qHcbP1BZYEUIkrhshs4erxx/zOkpYb0Y7ALt
1T8SrIqxgEXmMR2j+OgePcTaF7aa8gcHYTUdEnaBvc4wVLHXOFNbvN6sn/Pt//TI90vz/b//6+mF
mAY0lxxSnvtfDbgoIUP5ywPePfVPP23Zr55K/uWnvHhCu/dOavHzH/3UWoTuXy5wCVWiBECmhmIf
+SfiwZZ/kRkKq/P1CMNp/19iC6nMT6AqEyzlUOL+o0aWfzF7PC/w+RLz74L/RGgBMvluj6OABNJm
vzHkfUcAOhxMRj0SVDf7oj1zMceldC/2fTL2e1n2wQ2GDkl9iuwUnWRPQiOOvNofLLQQXvZSAMfC
BZgt3azVtizDNDq2Bkvq+4HOwnkQhykaNeIEiZRJ1RcPi6GzRMTFeQ/Hchdaud61dpqWZ84cQVqB
f0QrKasuMiiJ9ZcqaepLgLZmPS4XcRzjfgeBD9YDuQaTplOb4nVzEtgJxpd9u/ifxwlzaRovhOwi
sUwuUPf27pH0x4rcuBhH+Kext5LPA1Rs6h9d5zGRZUPuo2y0EyAPYCMcaQfodpjXl1MayOmqgI4Q
qH3QFmsD9wvl4wblm1ZUIAv+GyccjqSe8VhuIT1iPQ3YQqnnUDV4uxxzoegqwEvByDRJYuDIB1tp
mDBbhZQ87YaRBjSESfxhnvGL76b1KMedYMLwsuq8FZ0GrX7ycwZ6SFBVhordrApAn8g2C1323CRY
W1fsvKxxkXL7MEoaqAONk7BYwKmo1+wFDv3SeTkdwnjxdjSEUxdyIz4px05OsvcVdaF1ak+V/h/2
zmQ5ciPbtl/kZegczRsGom9IBttkTmAkM4m+7xz4+ruQ0n2lTJUpreZ3JpnEiADgAPycs/fad/Cm
ERN6wlwxL8ZM3Ea8FpnX7EJZGQ+IIfp4ZbYazU+9GK9IheTW9qrpDZ1nuhmB2PhTOpFFW7b1lojQ
9EwisLmDZJQfSqINd1BZasLeitJesRHoD+6gfIdh2jbPCypGEhxvKbKgWkaZWttWmK6tTpqrBBT0
vp294Nos2E68NDgp0wA66yyGiiAu+wkJTng1w7q9G6PBuVIDDa9R7iqYGDr5ygSWXVkP5RaiUfyc
tSq4ywzy3rChCMZ1fU+clIN7naAT58bz0uA5qpS5V5EtboUKFBNf1OjbwWnMc4BmdCcSAUFXxyw/
PVe1K4GbZPYT75rioSWrTMdvGoXKl2gpUQHkjaP8cprnQ9EYNvmrXZtv4K10h1HNzY5pUvhsMsw9
ebNDloBeyfGREU47rdwKuyT6nSb71FHqkVfgYE0nY6woNogKYFTphrxr4tk5NKN8TGpn3Sa9tQSB
KeesTwvmBnVCxvwbzcJtH4bGSVeq3GNE6VddAq+ZXK62uUaZXTwzti92TFer99GIXnRIKH6Xue6R
Kw3npsIFMLWVe5mnTF0DXvLHwlLNY6ib85ceQFC+ReBhfCRlo53EXDjgZGrTOYJg8rZWUn0fSF/a
61KrNxGiR66gkzwg+u+/IFXNXiZ0kC/miFXfZ6SRvtSiQHaScofZomNP5RCF6jljt2W7dRrLBCkB
rZwd7e7ptvAKeRxV66GEnlJCXfhbcasnbLsWVzlTZ9Sad8g41VHhiG/8MkxJ6NOXVC7pKgLIOtGu
CU+dNiXdTrzqY7ScF3YFThb5odBwnrbjsSScb21O0ni2HGHedqJ5iufmIaFE/aZkiUsShAmsczlC
pPANduuPTpNYp1ybgjODAnpG4HLX8P0PWJacyzQ2NbdG3z4wccjWstHKD7vX6KmOJGCaYE/f67EE
+K6TnLtC81qdwiS0nsKIIFG7zgwgU3nNgGP2wgvWhv61k2KNqi9cYM6ajz2KfWyimmMfE5vYon3/
DtqoZwBRn6EOjxuGs2odDb35xYiW9FOBaWYFnnY6G6rC45baI3yrzqCmT62IeqdWYtuUS28H1mR5
hYAGrKbqdITmTOtvhpbsLLCLS1MNGgtB3kbUqXty4uDOp+FoEnQbuO90sOAeM5kjfI3uMTC3AL6O
JQL3XA6FfOtlU56IRm+QenY6z7leIwQhhChdrXo3aknXsLQLOyv9cdJFe+OEC9s47CElMbolEa6l
uUxu+UBs8aSTqawb5Q2ZCSlLVJZ+p6mPmnfevT7a0wEpWevzoaEfJkF7kGmF+qm21Fl0Brprt3I/
CEmXn6WwvsVVbZx1B7WDP1EArTIvQfKckEbAbusyqsi9eGaaniNQ/skqmT8iDY8gmhfip5V6KrXm
QdWz5rt6A79niZJlOhlBCtYlbJvZu9Z6U26EbUSmb7Vjuw9FdJNhu9myxyOUvmj0F0w81i6hr7Hl
fv8gycO9r412pFLOykeUJjxBogagTZLmSJUCmV0k7TBftsVwKQst3IuR6AeEm3a3Y0hcXlm5+bog
svuOpMHmG2gOgfEMHgXbHst9DiGOHPmFtJfRgvqlrCAKZanM7/JAyC1KzfKAKNLwGcUoiBhafBb4
xPEaF+Wuw98A7VN1r0bTROvMLanBnPRr1+rvSV2lkHmN+TyMeYh+s0WFZbl1viraEgxAHhn+ZKr2
UzeBDMDI6x8SJlOUbyNo6tClX+qW7tpsiBBZYNQ3tN+6HTaMml8RN7cDIwx9k8weSdqWkbsM3CJx
gBHcxER1ymJ8R92efa1R0VM0uum3HG8BTHVw8zz2vkZu9r1J4/ZgCl73bL/TdS35J3S53gqvqb0H
y6sdtCQjBDHWaTgzVD/PlUg+vMTFaJVFYtcxXlxZdOWvSQex2GiTGJR/Uh96NiSbHvnF3rTKlsBR
dl5MG+QuBS9+QhVHrmSmKrQ1OsWLthjoFXJPxMJt8dHJEaq5BRSpDwFnTZG9HwezJhMDnTMk4MLK
GQlWnrGlC/xRa9W17122DnGR+MTy7nhECyBY4oseU3HgkImXwBF2GHgmNqlW3jhVc3W0lp54vcSM
9CuNGcKaYGBM6116TEo4bAXi6VXtETZgxwWM9yg6QnkIt4GVXcxciHuvVeMuY8KzR+sermczB/BQ
3E1NHG27XIuJUxGEBWfT1SPcY53GpP20XcUUYa6KtQWYGEh2r++KwSR8UjgmYElFyKQnnMfOIrt5
ToLS96T+vcbcspFTkq+AAoIdiSvJiyyNeB+Y/XWkbfZBGES9cQTLr0RqZauhuNpiIOkbW+lqkL3u
a17VH1TeeHvofIJm5ewe8266ZrH8iqXij57x/9VSv6mldA/b5T/VUueyJ7zmV7rTH3/1v3Qn91/E
oFCwkHn1R230/4sp6iw0F9T+DrNiE6GC8e9iijKLNgxOKOqmpd5hDvpnQWXwgUsXhSESbbfFPfnf
FFQmBdtfeoYIPnRYikw4JFMIBCC/9gzjqRl7wgSagywCgqqSROj3WlTPMODpT5U1E/yVrBztvRVO
8OgQF000RREcRRPDHoYsQ+6Ko59JaSt2JAIMvjHopM+7CJIf3Spv12wTQbyWWudRPCTkmRSi/540
MKKIGs2eLaPuNhX7Ix9CTnApNStSa7JWBiKCzMbXQ60Zd10u5n1Z5/ZDX/TqN+Prn5swyxmwLIpT
yWngnP5txJlMtHfKoaoOsIHUnU0IyC6ceo8Wf7ccF7/7L0vk7o9+7F8jBH8e9/zxfajbyEZhMo+L
+JcK1lg8nHR/q8MoGnOlwuydoeTgxwHn4J+/6edh+Y9vcpBWOAQJIoCh6fVzr2vubX1uSZ09ADRq
F0MjWMZJih3RTvHDYGTWboqS4P6fv/Q/HN4y4aTLx2JyMWX+/KXEeYLMKdrswGZhYiq9EEpaDakf
2bKymX7TVvxP37ZwF1DuoT/AkPvzt4WeO8INSEiP10acM0WTz1tlN/p422fe4z8f2S8tzB/nE0Mt
X+IgTvx77xCVZhblqRYf6khlJopY0qTXdZ2X9L103JtTpG77ptfPY5sOe0jdXbUhPKr9r4+ZoTEy
ReDcYAx4qPx8zPDKHQpzMyFIjIjgNTCClhikIHj0bFC0v/myv68hGn868yKXcDSy8n6ZVjc1Wc1d
YyfAPef5ioq4XXeCOxhEZRod2LsQ1+gU1Ea/+d6/X1iMw0hkEG4Ba7B/1W6lYUJGsE3MbDHWA6B0
ruZo9iNvybhP/rvvsjxqKrgJ+JO5vLr2Q8X1l7mJFSNgHiIvPsR6jZ1KTXQkKq2ZTiEJNU//vIh+
ed7++C6JytSyXEez5K8iuAQ3gGgEa2ie5lFnuuTkxwzJ1Z+cmQ/1/8Lv5X94yvwsMMRwzTEtqALP
5iGzaGl/XiS9TamMmTg+BJockrUaEw7Kmtj8BIMpHyI6WeC6IH+xtWmqhDCjPIx+I1T5Ze0sv4Eh
Hw86bOBLf/uXtTNM6INrMpoOwdCG60ofamOFtDq8ILrOj+yKSYS2zek3z/Mfp/DfY7Afh84IjANn
IsU79IcA4y+XcwhtYNCBEx8igNcvTWLnR/qW0w0O7Ag3T0XSUydKBS4YPQJ75LGfhsNoF+obXOC6
+ahI6juSOwYRa+mTBaBzj8GciOs/r4T/9DslF4b0W3YHZBn8cnpSaQbj7Aix12BbvGP3shofaQog
Pjo0o72Hyls5JK4KB8R9OaYXjdkyfRVkMYceTfkJkmtwAAJo3njCblGaDyiXAK96zrD759/691WL
JnuRK2MhQSLx60+ll4D9NBvjQ+5pJNmk8GZT8qPabvPP3/PLXc+KQaXJJUODTfgEg5GfV20s0JCi
hI4P5VjOVy9eUreLFOUI1hL58M/f9evj/MeXIbdAhw3Z9z9gTNxWtpZKeJwTdLQO3WBYa1lFxji3
Cma9KvQrdPYnvVfOq8iLcKdK2f3mxOpMejimn5crECI0sfA1udCY1n8+5gz1pMGdEeydfmymg5MZ
PEw7T5nVIaSffBVou98lLQ8/jjGwk+wdJeR+xxDAF0ejPJEZFBy9vp/uusEzevj2SUU2aNYxajHS
fL5kURscIzw39/g1gs8BRtuzO2XzZc6Qf668urEfnFqlRwpPeRoajQdum4/GPQFF9oMdVdq+w11x
jmDxkrhYxeJROON8ncLA7FdZEQ23ObD2tyxAOTOT235pRQVn01NF8Jm7hM8fi7zOSUodqmA/t7rV
bhMn6hGjOs2yR0AVoq2K2rDeIjDbH+Qzm08jHqB6hb08Fz5dUOszGzprXKMMMBFtuUl0AY2Yk8/F
o0Vvhvi9j3h4l20oPzESuQaEQLaNNC40N/TH2Av7LfkB1o5uDJshPCPtN9fpjQ02JecV/1bj3pc6
vdIVd3+YbtPS4+vRtoqra7Q8O+EjO68zALu1wvh9cZa/xdbGz5ikCVY6HlukZXEmHr3SnC68Z7Ln
GtP37Y/TG9hjtzGKSLtWJgnJx5IRJCQXPbQptOHbX1KQyP2mnqOk2jg/nlY0EU5NN/OEcnUlvhZl
yorErKlrfpbp854+Geduktj7/EbTokdLxdZLT5iRAB2tFXcLEZs5s8XnjCS/XuwO5l9bOzG9BI/5
atA0U7jzZi+bVxYDwAdgk+aTiwnWWAmDc5ubRvyehbmxpdNjvSWLsQ8rX0vTKgAlcpWjULDyUhIw
taFWtzGexWiNcjP+yiyVR9OsZ8/6RPG/MZd1mC95JW6fjKE/RW4Xr2els4HR83IGQIWVaEWDf76E
2G4DVAQxXeWuHeZrLgUGpIVfv+6jFmB4wgGgWErGGcA5C2wDjLB6i8ZQ22PlZfWSJ6XumiCifdxH
VAyw7MSjjeuB6xha0yVEQHhMXew1M8RQhesXnUhWb8H564SXzOUCoZD+JMrmGnZRfNDcpjiN4bgk
NWbx2jZa7YJlfT72tWbvaaEGj2HnYCxc0KJ2kV4YH5MvS//lNp+dXRrPWJKJ36NzlpivLrRUzOj5
TiunDhVpb641/L++Qc3n68ygtp6C0Qd6HIkMZ9V49uLhFmP1dMQzuY2QM2/HPiqPjO+Q8gggmEST
eWj5OKwsdRsf208G/pz0JWPJyuyk9dqg176AL71tFMkEw0AI3zC5ls8Lh0i3On6yA5veeVsZJ2LH
SURMJd3SYtylHv3ZdNahUc8ajl/mN6vYi+7RMrxD8H5DcAkaQ+TkgZH4vTIAAh+E5n6pF0DgajAr
hi3K5a3WV8bX3EQmgjuG6Jv4hmYOwELLfhyG4FQWTvilqyB6R9akjhGMCL/CErcuc2O6sWPTvHQ4
iq96nLVHMciUXrJ9Rjo3uYQa52RneJDTaiNsv9daWu0nvSRtoQiGgKiL0EyOemmV+ioQoXPuZcYP
KjPL1JDHG/OTnC1zq8Ys6DfdYHinTtfrWzZKVrQebZ4XqaNlTw1U9ifAu+PDVEr2DyUjhnBFuth0
SZ3ZXJjpztZKO/cbcIyG7DdbHaLay/lSdtGXJtTuXTmO9844TRtz7vvN8v4BxVZW6Dbp1+Z3bQcG
1eFOyw7YsNkKGCn5Ec3EXiR1Fe/Cwm7hOTgxj6JiXEF0541AS9nZVwmlT8/6W+ds87berFk75AUW
Q7bKyG9brXvGCV6v9ZG8equeyU4JwRfjBMDSho04MfKTqGg7F0kq7xZ0w9bGI/DSJeF4Mnu17uJg
PKKwxvdvuKP31UxUG6xkQbaAP/CcPBReEx3Nmn07PW9CAmZ8kNUKCE5HiZCJazY1ziafmi8FJNSt
lnfDK/my7mdnqZR+XqEbj0YunRc1zt6802QsoJECeCENif0YsuJ9xfTgRonaJu+mhbJSlhVh0bWz
p4L29p7SjW5V6X3zvTJcd1OhnznWHSrVnA68h64185lVndFXF2xhCgfLcuZdCaGHtReYgUnxn0QW
bYpGh5Ej6D50mXfkosKjlURJ8BJGSlbgi/hQs9ZeHZjFB1UXxPKWtbF2bZaAnRQQaYNQ7tD7ZFsb
zMAGsq9FoGZb3mHgh1kV6MkhSGrjwhmMcWQPeBwDfTdIycLGXYp4hYjK3DPuwjqTe0kO29kLQQoz
upYPgaz1de6O5S4DNrjN5tZ96xemPw+a2h/aMWZQ0ZVNzNhKursfNKxVMertimROePqaMm8Y3JS3
2hyw7cdFAsSmFeCJplSUFoacIdtlaeG8StIkHzm08KSEdMt1QLv0MGF//t5Rjp87c+yvnSUUmILK
G1qfjinvdDKGG78oB3lDxb5kJhKlEwx6ecz0qePu6lAjJXkGRUl2t26r1N6sWxw4sefuc4aMhxGu
DBOvwD2VRKNckr5wd1Y45O9LPh4938qrX6xQ1ls4NemnJ3MyuSpYAgdArvSSkqx5dtrqa85Hb5q6
tDL6rrOR+S3e0TetshIG3KIVBwgo7GXBVnV+Taromm5zf9KDiXZ1mWy44vEmzY2PUaAPjfsKSZT0
TIy9YTgxz+nLd0cvhiOBw2LterwDCWHF0i+nYG25aXena0P7njB2PSZ1xluDh0CTovUcLKdO5VNH
5KzTftgWteJKswoVfUYCLksXwzrgxu4KyqROfNZ2VFwUU+2beJT9E2FDw7vVxO5r2HtYEBZYNrES
2uwy6ZBTnjm5T0ek2Avbmo6GkRAEltvDC7Mpcr/TvF4LdwDxjTKRHJsx1X12UeENxk5nDZOGroZR
BySgIDfiV3UKFWiiXbCVZmvyw3lnAEUn3TLre9KqeThFEK6SWu31YOyOegPee02/u+RxNs3hg2uC
vvSVNHpkGYrXiE53aBmIe0vQ9yweY2TmW4ARXDdeCjsTg8yxmuP+AzzDTIUBObYQOWehceOvAa5Z
MkTY4lwW4kCBNqBRe1szg2cGneabMCrxaRCteA4AuDzKYk58nRTXnUJO/0R490B+qWy+BuAe2U5q
ng/u8YmNMfGFgQ28O63vbZMYzyV2Y+bxGmQBiyp/1mShrTRX3DuDSqHhFTMzFndrzcJeNQWRUFaq
5SvF5mTtoDqG+cUYx6XGpqdPkK2n4vc0M6LCZ2Zpw+3uSl6V4d5Qwtj29vidVB5vRy1v+XVjeFuy
oR2MJjYjmFz6OvOiVS6XTFuP0RiSCnJLWc5aovTTJPNdP+tvMwkRJKz17s6YatiV+ZTtYMkrRGWg
OCDMhBdiXj9FpZmres5x9w6DcYxp7OJGiwhIbSbAccC4VoYaSBCumn6H4Vp7T5mXrqjxeeuwETpC
Brcg8Mf1Nh+7lkGxSs6prnYpOdwY+yPlU1TbiOvV7WiDX4gsZe8l/BVfy5lgYCZZ48mOeEGUwZ3S
Ww1fQVJt3a793jWi3FSinHe6HS+oe+9rA6xh20xM0TuGmUSca4dkbAnWE2+xbW1LJrHsU7wbYODE
jdavYz7f9mlw7Er7CTnChUcuDaMs7k52M38iXnvWPfLLjGIHxhO3QJK9eVo8EnhFk9LpvHdG/q0/
N2GP4EeXT2UWk4hWGu/K09lYEZC9diODlEkQHp7BULOvTipyRoLu7Y988FCE53S1V1JQEYSINV5m
c/5QQ3ywk97Y1k4Wj/7kTeGLVrXhDAbHTY9WU5GfME0rktvMnT5vgK99UYMiZaeLzrJ+0tyhf6xd
4D9RGz84ZhjtndFL/aYe+i/CaNyNGoduP1DDnPu+IXREEVAr3Ek7SjN2vtitVexiTPTuGlZbc4hr
m/bomCzlBNGZaleOOlvomLTf1awTV0tmlGi2Ua7ukS1631BxEwkkqoyGziqFcqbtjMEYzVPn5m2L
dCIaFCIV+EY+2akp2do0nUcaF3rQHcK8Y0Wj/auaFV1NK+lggmT6Vm/DqFyl7If2GD0cMpT7jkiY
VpQJ2VkeTVNGrJScqQdgpDeCVzdMg0/IcNyAfCsjBhm4FCL4ueFuQYKjLApZ9j2ek4CguXCZaUxl
H7wSjio2gaipMUoDHEo8qxuc9pTAdTBdhCWpkmNHbCDT2NoNFiLyfjtvouzoHR5LI84Yv9CX6kSP
1fA9mY3xNrEnElj0dEa036THKB2DV9BFNLlDy9Hv9VZ2G1siG6XfNWjvZTna8oJQbSl5vY743UhW
7Qv57GwdMmFrO2BlzYG9PR8tUMACLKNAX0vibreO7lBfjXb31c5yYx03bP+YYFZ3skFHpQ/FgVSs
BG172RyMtOVF2prB0YwkTYGWIt/tHXoEy6Tmx/dhCBKbqbQbOHMmM5uU4BzNsfIvP/4Xz82Ne82m
7C+dxNs5BLfvicCp3tqcTEtfNQZdArRmtyMB8YTNa8usZy5s1DGcTLJ15Ap5Wr390SiukNP4hmLu
jSyIIKY8rrRVHEfeTnj8xDwa06M9d8XORrn9UsYdBxAnfCLPkfna0ni5k3Gmf8l7jateoMw/BHBZ
Dg22lbtUsd8FV6Dt57QnorqaJsbOGscFSDl4rCRlXz0gy/MZttaE91aL9ajPnGY9pMGYruKZrgjN
Sx4GvU51ghtjXVqDJIwe2mjO+tdmcfbKsHqj+UdYcZrQUXTnk9c0rUEigdfRkqkDAP1FOJeA4MbR
OqPX1W6kPsoTEEgmZLOkeRXMzKGXdSfiYt4OZNmy/YeNTzzlfI2Q5VEmKbH8vqgKPrEYcLiCMuua
9cs5yRB9oaier1wrdVPC7DsSkef5ll7NF6PQC4RrtOLavphxZAVgsbIR7xVxvlvbYgV0lsZne8Py
gUjQHjCUC2z9g7uuMpIfOgf5jMJ89IVBN6ytwmoOTrH817LjbOn2kheNoX3CH6SxdubGk+t6FNqX
SJdWsk47mERxy7qPBNtr3aHPCjmegl8XRvA56xZNpYTVZM58KHmN5RutxIJ8osIYnlC062dPH4Pj
EAXlWxDhgZqCiFtHRNzCOJKYTZI+fwwqvXxL0T8fPJQ9uPPaAfbyqskC/Z7igCMsDJv2VxCimPJd
oGg7r4iNM3VL89J5y+nNtSw99iWnaWhL435M8Vj9uGGNNo2+5dhG3yBg8tUK3M4Ryldw6Gi5Eijp
ivZthrkRwve7djV/5zVxeuLh+46tafAjPab06KqPQnM9H22pu2uHJjjiqS92QHG42RV3INYIj45F
gWqnGbpNSJL2xaQFfqnyIXhFFzeR/2zP+ikLDf22MO3gKDOTX95R+ch1weNwh5OM5gdjUXctl1Uw
VrTmELrQUgDaPPip21ETjl7PKnFm7T3UkuqNUaQgFTFCL+QgEArWJdXptocZ9+pZnCmCCMQj6djB
p0M6N2l33bIGG21i5ckqOMYhjin2AdO8F1Aq19jdKftcOxrQ81Mn+xQY6gssCPVVDS5TqJYNOXRx
XjKbiG0Fb0Yi0s56OxQ30dj1j7E2ut+qwQo+41J5x0GSfIhHgjeTFY/1dpLORKx6wQpYtHivCeDE
Amkj2YboZWlwr7MqLv/06/+f0OE3QgdDYxr1l+7530Tjlzf2f2/Ft5+U5n/80Z86B0cuYgZsCozS
FlWCxlTyT9G44/2L8YY08buyK0bl+W+Zg/cvOlokQXqWvdgfNdQW/6sbd/61zFmBZEjHcmiPm/+N
zOGXGT9fzwJne6F55GLhPVzmG38ZCRVanzQ52Oi9E+pyZgRmQRRT4fSU6wqhdijlb0bvfxuYkMxF
M59uP7+cOveXpj59g6gTsz3tlUqaKwSlwbftMf7N9OBvQz4OadEsWJa0Qdf8OmDrJP6LWkZqD3Qg
3o2Gqq9piRQ2JmVzA1EyI92wGdfk4Ij7dnR+R9FHRPDr7IIxP74V9v8u9O6/Txl7PMrD5HQkJNmZ
ooFGqimMcm0PBc49Ez/YHBWaznZHyjttsIouy9LFiEXstzzHHmgE6eGqpFy7IKjDlhjqQAfdeUy3
MIn4fyGE5WQ7ZmIeSHhOeFHKgPAEv3On6bPuppSMeJdOIIy3PUrTRRxt17RsZP0liOtpt4wPEFaG
OuEyZb3Y9NHbzHutVvqjbRrVTUMJ/EjNo+46sw+I1murNzcnIBbf1DB9kijGC5tAmuesL6Zdm6ji
HCBx9ZsgdnV/LI2CUCWt/Irbv3pFrcIfjir2zi3P+w2z7eDeG+hqY5KvtPLAqSpyP0QUovsBM2Jz
ZzC84WnutMbGmWPjcSonnq6qjG5lPRdnKB/ED/E2IMfaiZtriWmcOFDExX7SORRUdsQYx1Txnj3L
uEbY0RyhI9ZX9mvBce4dtbNrPTsQEszPwUj/nFCIPdfJbD9wdYihQZuxKQwavr2t6o8Jyo+PMJM1
NBYTzomgfO1hYFeruiq0vT163EOAE2GeFd7Z1kW8r+to+kSKPD2B+pieJq1pX+zSdc8kVViHOuz0
x54m1UvSjcVZlaV3znOXM+IltZXQuB2xDNpASVdpllWbtgoI4ILwsKGllt5XduStesYkPgaJ5sMK
+NcQqbCJANaY0YcqLPCF1dcEl3E7o/ibdnbcZwdSl6qbyanGNe5wKoTWLJpioxHaeqhalwHbTAPZ
oXm1E3qQ3oejjqmDQNQbVBeSnng4fE+1ialU1yH6zzSNh4Zefo1VPTwHXjlfvHrgo8ja3FV54K50
xRF7o6huAuihhIHX8lbAXqPjyLEADPeY6UW5PxBFla+GqBi+Mx2fgAoa1m1ocSWCwXNXELOnNfEF
JDgziuS8pmw/6VJKTO1BQrNWsYVkxBsE97YW1B9YM+ZLMUbTkzHm8Y7OarrOmjrd0ovrvmmJrT/G
vFDXSK2oVQTntg25jgtqmMKfJZoV1DRTw9HP5JmSDTdzJSy7nHaWzvpv0qF6zUInOGZt+jqKtmeQ
2OS3oftJ4c32KxY53IY2yI1D1MqvGu2HLwCo++cQhBR1vkjjnaFRAljIV5EmDvQOnYpZvGRRLlsi
FXGhbEd0W7Jzq1sgndat143ytgem+VjEbfXaS7v8CouN1epQcjVGUH41czmdElPIB+UuAwCRsO9y
i7F8C9maFD6+V9CsDRFdPw7OjbgJMMSIewXui3DXOJkvI2FcL7Q+0/upZMC5Io8XJDgi7iPxY7lv
j1q870rMjFCuVbyTKkYckEHaYtXil1mGWDWy1NQ7JxrE640Nf++ms43QNV7c1CPw83UosVV+xE1v
vcZ6kafhHoFoYe3jbhbFBr7J2F+megzwBIRmb92bKY0ABN3Tkw4r3y9xm4KhXFDUdT3bW9ahpGWC
MpDpg+p4NPXFDRxng+DSxDtaIr3rtFZcoVjeC9nfWHmVb93IkdeZomklHXq/jQzpIQc3NEwYOznc
RKBIowOIiacWqdWmX4YgvTW9xy4TSWvov6WRkR+IrftAohAdotkOCWXpq3OJt2lDNraitRp237BW
1pswbk+qq4NtNjb6Uc0AOYlXd/zMkcS+VmF8Y80M4OipDmTaUCHZiXsUKeLhOKsLaEJeUB+QCGRr
Qyj6YcQIEtedDjSEsuwTehqzK1MuvfvWmoDqFfdYvuONkQvvBBi/urR2Mm7tiBu2TnL9FE+B2vSe
GyK44UIa+oAMmhb+PneoaqrOdPFR4Kyh/chtSSTCLtKcyse3pJ1GyN97VMsPZh54lFJOe9YLz8w2
Buf+o63GEZha7Yl5lc9cw1WYdcPeqGKUGPrIwDagH9PSqYOv2h/C0dPpsIID4hVmI/sO2g8TCweO
pZB3Hi9wdzsQs7cid7bbJCB87tEq6iuQkO02pHOg6E8K6g5XfXWR9KxGM1WngjSgJScoffVEUDq+
rexpx7CQPpNjU9YhuMCADteBHaJZX9md0bbspekcKp6vJCTzECFCnki9dlVxX12srK1OzFVnOPKa
ccBaQZxcFHFXtRsKKwAvJSuQbrI84iVWT/NoJn6TMMNw22I/ZmtzECWNYHt+q4jWORhTPj9WSVWG
vt56wAakd8j7YLqLU3NeD0FfH9Mc7IkNiZblng4r4LkgsizTujqtlbI5mPR+FeLuRiXubmvomhux
jKxHQvzA1JvJF8cmRtTVpnFrBdOwAmwttnWEj6EP82umC97llBuHOIaSsrKGYR0Sdf2cuaG+y2JW
vG2W0eLwCjbeGFgXsKAWw5NR3CM2cPGRzNNxEYnCgpZexKjfJlPYCuubKJids6c6Azj4ONLyzWCt
MX6L0kuFW/hQRTkTmTiym1NGINRrnzgThjY54jcysNCdoompnp/oifa9yvM8WwPjttVaS7ThAKnM
A1ksml2vZ/IVz1rMwDyNk7NFuuRHbiY2I+jWGuaQfjPsiFf8PNp+jKA3rrSyoDEH6THdOpEc3stE
x0qSjcu+oKqvSpFfb9cDcBR3yOOTUBl5TMHkJA7LL48OgLmas1e3peU3im4bCGUZ7wn6xn6SxKW8
nSDE7ueoqN6NitqYGeOULteGwm/ZIpGdwXtoUSkkeDnOME0kD+eq++YyRASJMRplutXSlhcOjGRS
37OMdsMkgntSlpZ7APnF2Qmg5KxDuZSbUZwzpKnk7RzH4l4QtMjhgrDY9kjxwWNqmBhyNnnR2rJV
9a6qfq42keQi6TNvZ4Ca9fGPzVcdG/pjok/ttypxEnI+JNSaFQwSNAeKuPYN21D7QaU127Jlw1hs
jMFKYQUY2QGdVnHOmnneW1qLFqUceRg3Cd6svGJsso5ky8vdy8v/Ye88tuNGtjX9Lj1HNRAIuLX6
9iB9MlN0okiKEyzKEN4FEHBP3x+yqvtKVN1SnzO+kzqlUyLhI/b+92+M+xKZz2Mi7OgmKqg0Sset
r6P5chZB82wbuGuuiBldFmWIDW941fkM1T3Kk6BprFuWwfKbXeONTkqD27Nrw/FxIxaiVaE4Hcb0
0z62DP0YJ4AaK6sx/BKMXU37CGH7CVMSrl/3wybCS3BfUWx9BnImemxayt/ArT573ZgfGceYKzuS
1oNfjNObP+GAQf5JBS0mCQA8BzgYkxMinMB2Pz9mImh+R4P7ux5iIQjSL3kQ9hYW/I+9GQOPrMJC
q0M/JJqrMGAxpBz2ynWTNuqOETXlvd0szrNJ/dJOyifRteRm6875XUNjLW3ZT1ws+pnlTCBsAGh5
wTtqra5sUk/TpjvIhMp/jTGAc+O5ndhGHQDVJCkIce6rt10ESuXhk7NNW8c+gL2+RIg9743Sbq5a
u59OeIg2z1pLedMnYvw0UHHvfujA/4bhadEc/3KyPsIBWJ4YHQbvTxbDwczrDbs9IF2FxtCCwhJh
4qxNK41vDCISNmxFvGBWzxufdVhvmexTyyS9ek1r6maPiedvKJ+XlvPnO4hfGMTv5aQ8iPXvGt9I
N7wjSdQesERmmojPa7hpfd2c5wF1LnbU8Yaled5ONjwoKCFUUCiok70XL5+p7LP7dJDNlZ27MJxC
p/qGL49357sokIKumQm9UBUqtUU8+M+3Ezr3L/cTtrwPeEFTjSHoe/Khgxi8ztE5HkacU9bkNtcI
5opg2lXQV7iX5bAhFMV7g4XZH2BdIsK2xKuf1k9DGdnbxKFcMpwh2ui6QAyuhPzc13X5IZnt7GSa
hf0iJIF+H+qoLvuTimMfCN7KNqYEdU0AsPcFS8kBIbpzY1pxvVVjQb2aF8GZApLxxWhPJxlTzatG
D5tqWWGE1MY9SVfuRwPEDLJdZDqYC0tpIH9mjXVR4h5bnOGOWrOAgbBSs9Ms05dEGX9pRhNCkD0c
L0gbS60+lnNzV2JAwpoSLGV7RkEfgM+vpJm4HyWzgC0K+Po6Q5x/TvGH3vXQ79ZRH/ePC7kXtaUj
8hdlwx286vLZ688EVETcpARiiDG23bh1oiwm+rq2w9w42HaqUXo4AmGr3HBBpXisQmkxLLTr7Ohh
Mh0difNONuG8/B8hBX24MVtkN+swwYWxXzlU3Cf8ytpvXm6PNbsxNb0y47SEsxBzxVEZVNuRRZjA
tJFS3oNFtzIQYRGkCGmM7psl1pftk5nSagKpO+vWgfy1LvCx+TAqGjc/lvWXKdXZTiVdstc91ZWZ
DbyRTDC6DXlM+rFL8hdP0T9CbKs/+0NuJxs1LXyb5d4FGUSQq3leRDJObNyrVNhHi43jLrP7ZI8G
jEXPx3To2MG2eB1hn73KiajtTuQCLdnI87Q7X93SifrnqTHRmg40/W5etk8l7LincbTITh9Zjbql
t8NlNF/H8GyGtSSZkCljjnzQmqPiqNqUrqX0bEIlEu+usJV+NC0ojWDy1avTKuYdkg6rtuie0XLO
7ABdZbVPIgVQapq8vmZc5/EFS1YTwhvQNvodnVEoZechvJz5RlooDtaKFAp/Q95587UqR+5KMUMi
pDtcOYmcD2XMnkisE6icgKW5Ik6GLZSUhHnnTB4AUCGa52Hy/LM1ALO0dRycI6tWV8lEKoAbceMU
G+i+NIVDMkTZP/qYT626YUr2/oIAYZRUXxcZ+BB5jiAEQzm/MXWM5m3iz/XnzC1u+xEdOfNH2m3T
iVAoSciFQ7ykxfJLS9wd7y5nPcqFy0XcDi9GlS/PwB5Qniyf6ris7yZBUxvYC/WL04x6N6oixXTQ
HMQWE36QkaV5TUaTBj4eZXNnloonU6WUIpe9uC6jRZAcYeiekc8ECUQN4Do2s1CAVa4u96bTHDEy
GHvQtctryPCEQiIqG/MwamP6ICMQD5t4yrsL4kPmGXGbhPWuXaKu4AfSBeellRxySUGV+65/1qHr
rC/wgBEZ3AbZ0NkCOHLrFyBvTvxpl8Hdx1M8fsPYc/ow87mRG0yIeLgaRrAwPwK9Musxu29qORYM
J7OAPoWSTFfMLhvdA86RmjUD8Js5tFCuCOtSBNXRzCdYBQMQXAjPGGjHhHSoIQKQFAGcAXA3bMuC
LyYaC+dGZO4iXTBNVNNu38JNUyCCs8ya59mWAGVONzRfoxTEBb7b9KlEa0W0kcqP+E0tfaNkWaOj
ZzK6IDXLiHzlU2rAVyLmrVwVArCnmVnibIvDX/CbyyY5ZmC3ZRVLiI3Gd9PEumwVegaPLy8olprW
zHZ/vppQanZkF+THsrLCe9PKy3NdiUWOK/0zNIfmubLA0Bh/g6nppVYeyHm76SWdFtOljsXdEO23
Kg+qlzGi2CFfITgPHutsNcTcwthBomCWNg8ky7S1bWmfti2RQwcM/4Pz8j43almG27Bq4c3nIJJB
4lHzZoofZxMlHwhB4EO8oN7UJcsuQIP2Yvm8EnLW7TfdMIgjzCa68SCgQ/5d3p9M0gCwEq1yl8sJ
F/TrUt76AQhplJXZfTGQ5rPQEjcuDggPl73B6oCAYZ/ENx5LPrgTIGpPwvUNNm4OW8UQ+OcmoAxp
pkw8wH/v10HBEMtFbnCUtMPr2E2th9q1W+TnPEj8/uCg5WZ5nm1dnh1BEVsszwDf6vpz2w6K/Ja5
ojgfcGEQ8MYep4EymdgQ/2xWuXiAys9iyzr2XLV+/Rl9HGPakGX/Agli3CaPvmDkFZXxwLSS8rNl
NanXtDnZbhE+7JpqpDjpaHYKPux9Z9ugoBVGzOvJ7KuXXBgA1AOYMUF1tAodhbPtNsNGAC5jILm8
PJdldvS4GyBH8LwrGT3R1U9wB0Wx9BNQ3q9GhZOAArT5VHtU7QbxQRMEv56babK8xT3fUQYl7cnE
KYsez+ZdM8zwfhzAy0Q+FskRW/fmaqhzQMRlqbRNborK7OwGLXvGo0wcUC/ou3YTsD/EQCZ8kwp0
uuyY915cC+zG09+9hbvcceowbEkYh6xHE8L0uP7SFoqSo0FOfSR5iSamTuIbiOcvfe9w1xC42Efh
x3wqhIQMICAm3VA/NM9UJalcESkO+zI3q4C6RTvJNXNlFtkBUsljVYVUkFM/bXrNA5/8bP6QCSD1
yx8vHyZZXGwxxIapr87AnorWVB7LuRtvR2FMuyJOE+gtFR90QlUZeQ6LDA6o0Y2ssSfBciOZP5Cr
TEc2eNNubLM3LefKhWlDA3sBihcqoRR0psNSBUzkxPcbSMp6D5DAFQ8INtLhoH35Gd5QvJmXSUwH
oLLVzuKQksHJuurCrvpTs/bfo8rfjCqxSV2M/f7n//5ff0rhfhlVPiYqSsrk9cdR5V8/9J+jSrHM
G7GpIvJBXDrOv0aVPm5Vi6QSAatDNDQxDT/OKiVuzogETdt1BUZU/zmrdP/gt9k+gkX0OwJfnH9l
VklCw7tGhAplaYb5lZzFQoriv/8wrfR7t6qqKbIOvj+VOWmnlb9G8UBZWU7NORlsStnwZSp9hwqQ
tfWTqeFeSdOuTkkc6Wu7cqF7qB5av0cg1ZaK1L8Fa6pPbJf5Q1VO1BlY4x0hrzzAjycicNLNq0l1
rShYucGfMBEqH0XnEnZaDJia9MJQ35ywrE5VHAVnCPpEDpoYTa1H0TqvIBX8JQavwWOHi+L3bGTR
ymimx++L+s1Lr5JWDtfEMG5VgYNJNKYnM81qf+/2IV6/towWKgY5e9e6E5ZFBCqCDbhZdUfUY9lv
az+NVl6DWWhbJI3cMBQdry01Uptmsf+SZ/D5T23X+9yWSoiDReLJOaV6XdOG0GjijFqR+TbgA2U1
plyFbfZFFnN5igb2YcefJZY2Mnsm8avcOlYoNwaT6XUe2sMjJNoJH1ImlUfZataTuqhvMbwxvf0Y
UhKYY2987thoNxrK8acYMQoGEVhtMEzpG++xbpO+A44djWA740cJvSQNzWYXBlGekBEnO3HTJERG
7QwA3wfV+PJVkwtBIlg+1J9lROXgBpb1MA40TCgCLO5FXAXWQ5A51OWTGKwH/GorSrZ6WeDYcOh5
FDON65apu157HSG7kDrLvNiyy8B28uOAQaShGhDCodTVyVI5y/rlX3OLnL11CLxLGK4u+XtTXPAz
4K2Zd66XIl4EeCitna4IH1Pp4/DtaErJrpcUo3kczRaxTk7w6FeZrdlKwuDR0kaH95mP1J5Xk/JD
WA6XcdlAB6/S8x6bMPtox53zWo9500Jf9eGwAz/CuCoxj1pNhVWdRATrbp3KmQu6bE+iUTI9dRnx
m1cUdJzAgPNPtPWilLsLrYb51UCFsII4jXeMMyk73fijhxMKWaSuuCZwbAh3ePCb0bFb4prwrEq7
b2lKHBVOI/yZcQy/Nq4aBTEeK3kcOw2oe/3KpRpMVtIv+fWju1y8P3cp6aTYdc9rRXGMuhb2/lG6
hTyO49KKztiGfHYjYpOkUXMRIYKSW6boLqApR0RzgSlyb7j2kSCzZe7aC+4vmqnwcVBoS9a2dCJv
IwfRz+Aplnw1MU3z6efH6uSaqv7cCAsItWFodIiS1JF3UUoYRAbeUhHukChCuVxt2+tGJPz+yIaF
tp8KyiPkDe6TXKy2Hi9nSe6jjg75JJNyTdYtJ+uASLaIw2zrmrl0SQWRMVilGB94zlnRN/PHbiCZ
dVflyyMV5nJ/SOky2+tuChafpLY6Tariz8GUUOf4QdS6CABnjHcrgxeC5FLa8yFnhcI9Vx1kYVrT
Lmnq/G2eHd7I1DWWd8oS4PsRprrFvgLmrE6eVYwYdWMpvR5Jf6bSCMSMF5s73EM1Gm/7lAE9dpTa
ht6vmfblcUmhgTK3Pne+Xle1408rRxhNv2pFG2w1kk97PanWW8x6wlMaTMEjD9ONN+CH1n0aE2a9
yhUDyk7qNiRnU4x4RgX2Ph38YjfbFj5DfeTc6aRrv6aGbdmY9fBZ5EE+fvRdo1hDYOfFFgovcnqf
CoNYUxpcXUGEIpYzxP5RSKqcfMigxLyKW0YrNQaOdxiswPuK8S5jR4upL/G4ITGYqL0yeYyiVB7t
crm/0xiHjwrg9exqKhcOWMDdhLbHYC8S0dbobNI8mxCSN7hyfYRJgA1e7sfxWrFj3JVWXd7n5JbB
UMxyJAOU8eIT829vZ1Ctf5deYeMY3yWHtPetb7njzY9+hGKWZphRBcrS5LuNa9GDdpzpWBclCrM0
D9dVYnxSqaEeYyFRYxInQLxk4Cd7PLIYjtBVnq0RBn6OhnRn+gWZZZE5f08uAxO67vZED++lq/4y
UimW6Qpuai1mjSEjl4CZ7VHPKvtQLBMZNFcMZ/DGY1BDRe6dl7mAWqY4zmWgM1+GO+PUTFek4fjX
OaMfqzDEuDWBiRWMur61znnGan6HTiw+Ih3Yd71L4mVv90gqMyQthNqsMkOHt+gnWU0mD6cCsgju
rbJ8tqEXROsuaOdo35P7dq4z8IpPYW1Xj0NMNmo+yFvmNM09rJdoNUStdR9alvex9GCX4lbW+TcN
ZhuHxGNub0ax+RyJYTzJ0H+YI+E+6XYS+wpfN7V3hrIK+D6o+Q+9GpcPfziMdVCAt4nbto2WHNQ6
dra5GZtnZNao80JIq3dtXIGRwWfa5qkCfUttxcix70A38sEsTQJk4gHtxFgwJGeGmCLh0ro44J6Z
67VBX7bt7Qb749HsHkSZ+Z8TDGyQzoFO3+hUauiX6KV6WMftmqnhy8j2fmKupa87Yb4gwG2WsRmC
SGsYaxfTyrA7t+6cbnqEcB+nwJAECKTWXUbmx1uPn9/LRFBS8zp2Zt7fJa4Ko1On5uwYoV5a1416
FtMc3sV0sgSPZiFccWs89x3kEdpiSDQurWlrGzdKde62ZVbDrMMrvueoF87NnKTb0JnEXZogVPMT
l1FUEbu3QR04N6MecA3LyrhoVvj71NeeEaLPDxsBtqNN404iWodeooctt8tb9UylrmqIny+J7uTa
qepPqCHNKyjNjx1b4jZOeU/b1PxsiQiNQ9qeiTuQzwOsgIJvbkKLFrYWNPY4Ru8tcZT3K/1Be+rg
66FbZR7Kt9i0NKtmVY/yjK+05App5EQs7ZzJu9Adm59xjSxI7E0cR4vBrw4it57CVHrMrt1iRRK4
hMnZZRuC6vONVaM8aUUtcUF04d3YQThDcG/I/XLZwnd4HpnjSojavvMj6d6iguo+Vlj8stGXJA61
adwhHB13htfh56YyYiV09Mk1G+tUYriJAd4CemAzvyPIs/iYpDjqkdKR5jsgWKz6RZ6229okZFd3
ULqg/MbxbUFbvMtsc3owlepPU2ubT4biB3vMNz+wAgHOo6uD11wEd3Zn9vsaWRp/FLI+2UxA7mOn
yPv1VLbDFjIwpujxUFlXmkDLuyRxzY0K3aPPRO6M6yqsppYs2RXg/mOs4+cUIzyyUS3sR6Oxjz71
qNFWXjt27LitfeXW2NePZoTHWBD7O1e7PAdGhIOLJscM5jWac1ftpix2+BKKLsNjACWbTDS7Yx4H
EHC8It/XA2Z2dcCF93hAfgzTytu1YxOmW7bD4eCTkrjBKQLj1JAgo1FBvSY1Hmod+sUNPOX2VMlJ
ouCKJ31C3ozJvRCjveNnRuSQeP/BBXb6b+QOuG8++W7bBGgNlC7o8q+ADc0B6ky4zZfSChMnhQnq
1AC0IdUG8UrdbWI0NSSFHg6w9vWHobbEJpxyrAb7pkct64lTBingegZisT+xv2V4V+d23IOoj8Vt
2iFSbDOnutfFGLn3OU6u89oxArXqgbFWEHnkl8wSZrQL8ObjAzIXPSPTkpuITTbq8/FcZm27nXQW
jOu09cO7ljLgg8hrPDPKyY6evYL5NqPDlBpLBsjlrOp+DgcsN3E62TWZns5O6zjXhHE1ChOExtjo
yiHNs8q702g1094vk/GWmOH2IR6Kq2ZoTrU/j5smEM1NAZnoK1xCc993jbqyABX2KvIfKdSGndci
MvCUvEv7KQeVhPSV7dKxiPIr+ISDtUuCeZ5WA9KfFFi3rAB8hDvfE6jD7JrIXUwAA5H3q7pEN2iX
mhtCdtk5Q91TfJ3QBt2iwpxvjHhWyTaqE0d/8bv6AcZYmXkrlWgZin1hsLgdw9Hdo0z0cDfIn5jh
jvGJ8Y4Xnu3SfO2GoEZcSCGX+LwLR2DOkOecTtnWz9J4SUiQjvmUFPybGlaKSJ7bJRJohy5jtUQA
O/XwNMdo3KSt/Mi7jUTdIGKejl3BDjocfujkb/8cI/5onfUrjdd2fBzPbMz9F9eu98PFYNBw1Khr
PaXkcbDpRJ0kFg9Qe9pvgbJ+x691fvEjMXHC9jGyshezHqLyfu7E87ifXCRh1aHEa+/cxZTuLQvz
a2Z0UA1Epb/GuSnlddT72j4q5drhtG6xHC0+pE4KI9bgw966DZIKLDJ6C9KVO9dXuJ8Fj33cBds+
qygA5VyGlG2F234zI8jVNPSymz8K1yCKFWMOdUi0psyENfdaOf3QfWytwGl3MzJ1ElJLrHDky0w/
geWAPy4M09CxqfUjehHMVa2HwrNrKCRMGnhlyjfmf+VHG1dHnHCalr/vCrP+bBb4fp5BOD1jWTtN
GiwYg3czpL92F6Q0Dns/qtRh4i+qG1nVlrtXseWO25bYg8+XXriAbfobP59fqdQe7GaQGt+Be+m9
d+zPqJBx8DWrA2ooOjonSekN4MTQrv3z27W8PT+PrjlQsAhuwT5s8f7t8hUdXAMSecjjnEdcQwPe
dmXD8+Hbk69t4tNbR9VIE0LSdf35Xz36YrHDFN+XaK6xTvr5VauNyQLVxbBCpbV4cAfkHUmTTNSP
ucLVwuCoxMLTBBgQPes/0cT/0i3K+nX2/afxDgH2ng1D/t2XReIT9LFQYV5t1fz2foi0/OBljXgo
UyYMG2kt45leTtWpi2pqVJOMBBq/MvLyA2lVf0Uj/De8+Rt4U5iOBA78r+HND69t+/o11uhhu/ZH
jPOvn/wL43SDP4IlghAXf8h8gJV8VX9hnJ79h2O6tuNg6cZ35di8C2Wluvg//ocUF9GF9Pkx1B1g
o/8P45TWH2J5PVFw2IBNeBf+Kxjn+3XV5wiYrdkkX3GwX3QDgT25cD6N+oAv9lsMk2Fv+BUGw745
/ObN/rsjATNQiXrw+WHL/PxZ5aUs5TKNP+DdO9CB1C91ST7KEMZ6/cNz+JvN6e+OxDHwZpCeYL1a
/vsPqG3UGeGsaoxHQEA0Si/zpu0LMrya+fFfPpBv+yRbEszHZb237Oy9HGaGmnE4YVyR5dlbaCRv
Kf/77xzG8SUrAimD7x3kOpQFbeyMNZQbXK9JF2lWi5nkOhuTf+PW8a4GiJCALnzr4pT2460jO4d4
Qa6ox87kPGI9g+mHYMRdpr+5qGUV/XGN58XDUZWkFZ4TRcR7aN3rcQvqAmyH4wEJqKun+ykaHy1j
eqx7xIn/fAffbyiXgzEsWKYC8LPeL+koyCu+zao+wKSEw8ik7JAiOl5VRvJq+pDxEqnslTURrPrP
B/6bV9F3JVOPxR/SZZL+86voqgqyD+TMA8yq6qPGSRXrCiN7NFL+7Z8P9X53vlwjjC9WBc80+ap/
PtSsUz0lkOYOhgatw/Bl2qbCDD/+81H+9oJ+OMqyff3wgiwCsp4cL44SjA6qy/GxL4byqlT/3q37
4Ujvbt2AoyZNKEeKcz3RBqevM85Q6/+Pz+vihPrzuxiQl+rzZniBJLVreVd/uKgqLBy/YJhwqHtR
bWqzJwRnqhldzhK8K0BVtLEoancNwrqDqYisTHM7YFQryytkX/hvDNAriO2N9FqhM/h6Ycl6aWgf
F3/WnfayNwye7CN4fP+h9nDrwUAGuFUEVQOfk78yxWGxhcUkUP/YzsEbm+JuUoF4AlAgSSVMw5e+
YP46FKNzCL0ZOvaEeBV8wqfJG13SpSaNfgdOIQTNhtF518XlVmd5ue0YAn/sDGLB6HuHr03IKm8R
sHLVuxZHSWV1wiWoJzbN8+NqO8nc/JJmMaB7y/kYpJ++FiEXneEYs6soVmn9Zgy3iS1xoW2FYbqy
MHkdYel2uGeEDP4bE7I/fYyPMr021oXJ1c0FCxfuUExgupLUZ/D1VcwEceu6bAH4wFkkyKB0Xvf0
HVdkRiYENcwMRExcOvwFjfYDfOS83BRPUdw7pzGy0pfIr/JHovySPV0/kLtbiKeQa69X3gD1qy4k
8LfLbI3cE68OurVtM3j4a0hgQFV5bAe89uAUYDRuJN1LyK05xWlT37g6fTMtnqlOXfGEM/Lb2A7h
x86dq+OwLI0xyS6niVQQqGhM07GbCII8vk0Td7xP8YA7sqJ3a5Rvyb6PcntFGQDGkQtdIuPF5XEF
QJNcR3j24GMQlW8uqu1rzLK4iTon8U8YA2Tky2ufgzVdzSZZB1h1keORcBNCTdTdLLHeIOEsevBn
AcYfeUn2EsxokAtiIDahE6comIC25nU1KzffY7tu1h8saHPBhmSt/jkOa+Zh6DGYXeBtx5jFhRB1
NlCtP/lG6TxAXi/ehIfLGdcI/ouoZMWwtDlIfBIeK8GozMZmKF07Cq+otUL9l62IWSTRT49wJtVY
k5EK9RwCXTiCPY1YOlYrI8oMvFPc4LFtFJ+dROWPJw9b3DwFPmSOutcrh8Fb/NiVRtTvcaNPX4NB
GLug5DtyPRIKoGpjktQyOoUWEPTPjPWyvVPrLt/h6iySXVrbzryd0SY2K9ViBbLCuML6Mgd1+03M
fFsESEzWhlya9lOPT/BnIHvn5E3U+gU8P2elYKNeMQ1I0DgMOGFZGU/CiaPspYlEeTWGpIkzGxNr
rEve4FcEyBLxEuRE8NaIiom41Ba6RYw66zoCI9nqKA/2qcETInoi4x+sarEPwcjBc/Fj2iucw+J6
jL+XAJyHkoAeAthi3ECkpZ/rdur3dlEhLA80L8I8+OXVkpvYorJcNUaHxMLK96QXfO+08jZxO37E
ig31VP+FtPXkqihdWHDMFE9shd5drPko0dKAsFt5/6HvVLCNMr5z6ZOFLWove/IxNziZwbjD1iqH
lDLW3boYspZs8SQl3KfLealZFcfbOEczV+o0uLEpKlEh8NVnOoc1gt0kNFhS9GbF6oZjTb+3ln23
lly3KNLXpDX8G5/u55XsXP/OBhy+rgDrH1IZ2lej5o3KWFBfdIAyzMynatMTTLB1WkKJVwWWLDdd
qYevraGwIola1pxYZv6d5RKEIs381XFYKJVi/XBjskHnBFE94RLThikFXaxja/8urDIFuVGzkl0q
LWydGqy9Cr1Jp5RFTBBR65JDTDAhzXfS+h0qJmv4GjvlkYluuYqC1uQNRsepkvzGrrtqFw+2z0Mo
6pu2WerqSoAu0tmxkjcx0UiFJdeZx91JwgCqlAuP7LLqDnHyuct867s5sFr1yzvimLN1nYVdcp06
Y7TrsQxnjaOSWBlG51wT7rFr4ZGv+0qJtWMzyGu6alz3s1t9Qi0Z3MxeWGJQ5SkGnkR/aJ5wCuFH
MZ1kN3jo6yhc+4B8eOzqAhSPtceIWD2GgI8+63HX7oNK7+wUADgCcby2Q2F+CSzdnWCSUY9W+sbP
2vzQumC9KYPxfUEE2IdOJTc2zsrPRpq2NwzCug9hOj8lpj2gzkNl609Vspez5RxmnGZhyzbFTW0o
Apeyz1ANig36krcqCqFWdMknvudH1RNJgtcM/ixRgVUXjIkbOSHxYlvEHtaVXwynwnLRY9PDJBS2
YBLjAkqnfKVKVhyz8NFjmhamJMwlp/rPRdaVbb2beQY7ei/csdwRaaEvCZcivUgfCmgsag+XdyVg
mg6rrg1S/KmIdqxWKU1ewyuSMt5BfJwtbtkmfk1ohfFLUYXCA7Ihmyuv7aRA58GcB/XZQGxJXYhP
bSGKq6Gx8WL2OpJqKx81lp23eqOtYhI5LL+x8tzTNAjMVth8csX6V3hDSIrLAA8dSxRyQ2TSFzEZ
LoHdMw0owt6/QjVIesUyZvbsNbW40mAmgfLe2imN/ZXPJP577aAjtJLIO46+V6OlngJG03bjmPAp
R9b1yWfwkaw71XW3pesxVGCIFJAI5EfptqtjBdRta6tH1GK1L35mZggmx/zjkNrkJIFOMf+kuEbL
VXtTf1XmabbBgeaL9DVuiaDMxsRwRTpGvBMu3xcLR3/nECK+OHsaaG0ByleGFNOe71TYqypFDKNz
vzuIRndQfsNXYPxs6w0i2woTsnzlNbjVdGK81uzRUJ8jZW5KKRj2YwA5X/O5Rl8j8hL0KrNaA4Yt
BjkpiY/HZHRMf+dFBesbZAEW/YjqhG5JEq0og9zZ1FzwIYPwDRV9cn5n8HxR2fxUjGKRgOGCCY0I
RYkl31XY7TxHDLHN/ADxjvVGDP2HLtI4DfmKOqGjtLwmhAVvMzFTV2SBggmkhHPq7ALxnRX8rlHD
fuLnRm05HxACywOhoNld+o4fimOP4TTfAOdDaPOjNqFIZqypg0caR67vw4lt7p9bjF86w8C0TFpD
KZmcg3O8Q8AQ0jlFBFMSHy2KsDJklHaB3koyBU8GwNdv0Ebrl55mOaDnwIMG77Nhj/18haWiwJFu
lrOgYKazYpWoCHzEInmDV8UrDuWMbrG1vXEdf7i9bDsMa4FcY+g+O+TMBsFZ4JTV3PT7kfia3zR2
9t+dH071iEwXW49fmvJ6TLBRxk/0EBeFvNJ9W7xVdsM3NXRDi90d3qPjNsdQiGSy1Oque5da0yKn
7qa2KLRRib9SypRXvkC8NQk6zzZhnrHOJ+2ciMQJzqVKFYRluBYdnmfwlhD8HKKQVdkeaVy3kAvC
j7Y05SucQCgtAf/Y+4bl3SENZwMOpzF/JJMxfbnsiiW5UP56mEkl+s29sJZn8e7rIAPBhfznug6a
2XcvR6QR37N7ZYfOhaPiGG21wvkOX2lbPjeYhx2QDqHDRSS4c3BHWkeq+01+9y99NpgwCd7o+Xkk
vKbvzqCbcISvE5j7pIchRTei6lTL4XfLwC+IBUcBqBAwD5co+vdADClnPXPEKjm4kuL5wlIqaxd/
TER60cpdWCnEI2HcS/zl8z9/f+LXe0yJgnjMJ/OBUJr37TBhAbJX+RAfCBOLQhQKSECNcIn31pTG
OPk5001gQJ/BhfwxC6YGN0NnwLatd+BWVGWcLOstsesNDoM2ir2aclIyO6H+RuuCIvYbPBcs6chQ
o3G9nP1/49W/w6sta9Ed/gNenXyNk+i1/Amq/vOH/oKqffEH3jWsuTgDkfThuEAuf0HVgfmHxAol
cCTgGci4C+f2/0LV/h+WT2AXwkcbh89LkMZf1kFA1W7gmNjv0Ojy0XjOvwJVW+92IpAty7YZAIIW
MsqD/PvzOo3XGH4GeQtlAV0H3L8eD+3xoByAArRlJbSJKp6K6pxmljFQ8pYw/eopxu+wDWrn1Uv6
UlgI7dOlPHJSd57ISpU5k/VILIbqKH35tnARZr72w53+G0T63ZaGcSwn7HNrTRYOh2Xj5zP3W42h
tZrVCY3beG/FpbF2KNPOU++Z8OwnOuN/PiAb888LJYeUJkOHhSkNsMU9+/mQRpLbtaGr6AQqecY+
zkjXec/esk8link8XhqjOVjKRL49NEEzrrXsPXkIXBaenRPFVnUkuWOhTZK8h82EGy40wg4eMsN4
uG4V+U+38SJfyYXVzXu5UJLT1mJOCqbDHkG0NJOyRhE3sHZGDb01GkruteH24z3+1/R91uy8dmUN
kTFtfA4VAEdEkKTDpelwQuZ9g2uASrg8EYrrrtV6FzL2xdM9EQ/KsnkJBputV9mUQpOEtbCdu9q6
VvBdIfRGsNS2QxIM0RZQB+/GWOb4d8SReLAswlhXiddyba1Ck23EE2GR7sBpjCLxx63tCOi1/QDJ
1cVNM74ZL9xbcpvsI0VPPH5SOD7NCU03ql6RxlZ7grXjies5w3F653qTWz8LtDHxVaegZnsRJpDA
aZ7T38+qRP9i52J8qn2LUAFbdNy5pCXaCE+HaqyOahl7rnu1EFhJquNm5HXPf601/uNbkfbs4OPc
mP3KMNM0XrSIIIqVKhfpPZYUUFUzUjEvfFU90fP0GtdjhD54A2+axL2LAZmwz23/D3vntSM5snXn
V9EL8IBBBh0g6CKZPsubNnVDVDu6oPfx9P/Hah1puvqgRyPoUsBc9GCmKytpInbsvda3Gi4SaHvu
gisZdX1KgP7UR6lBL+5+6oaddCXfpXD5gfg4mH8fF11xW0fm9OISk1uQnPV6S7z14gQkn3P/kNRd
goZhKjyR3vBCPaIKSUD63xukL88bGmQApzG8+7gYUwE1EcgspiZoLRwwXG/yttVoKeSUXrxVoLZX
VMO8PGEC72/YfTibFVmEQVA7A6yZrHeulyV2PxijJ26msVZ3tp3HrxbNkSONY+mHqVV6r2Wcj6gv
YPbiv+SRTSYM5OM0oudNsrWmL1QEKdqaXQd7LFjWDwbY+f7eIgLF3Tqjx2Mzth6Xd0oLt701+9mx
951D1LUic7mxyZ9apJ9om66BNKBWFzP3LrUpEn4s2YJ6gD8W2Q8iTeaHdNUEZK5inF7FPCMddiS0
s6ukHAEit0flQNY3RjRxb/G4Iht/m3hzZXi54DvyUuZ1tcqmkfR1n8hKmB+o5nkRDO1xgVOrttxD
zjD94gCXqRFfdpz3x4yeZRZZ8x3Di+Y4JHqZ0aEMXHqEuXwKTTIkC0jdaA1CTuO6eMHKPBjWkFXo
h1b7lGttGB+MwdPNVW+1Rnu3zGA79orjyfSsC46Rz6kkA/IhGjO83AUid5qhtn3SADDRXy8F15Iz
JddyNlf1f/Cmw2cG1R5Jaka0IVlVknPdYDL4KbzOZ4MbV4EdabfuuL4UfYuPi/TZVZBfysoi3dJA
V8j0KXE/zcofrNsswmsXAhnJq6+ePQnSDlYTg79iUMl8iAmc9aK4zV5a0eKP3jgDDB078vv8Y8sK
IRKoQyieb6uiLF2Sbsl+DXaeio1299MCgJE9O3cNyQO4qlpxk4GRnj/6Q9Tk3x2vtCx6UEsTR2jG
Rsu6Ldh/dLOxBizOp6i0IL1uqso1zVNi2fQIHLH29400NqFcaex2aezflERLfXLGAcWuFo/eGM9T
iAhseIZTZuyACiTgGOsutIc4OdkqiECQRSmI3nScNsIWxHgnXuEc6fy4EzSzrDFS2ugcNfeSBkCZ
MYdYSIlQ4Nvr2jc/dJDOQ7swX1DYg70kAGOTL2W/SZNp9o8it+Ivqou873NsR1CI2vK2V+7VMLUE
Iueqne/dyotfHHssdwWb1Jayz35g6Fa+CJkU6ApN2k2eLuDUAje9C2IQ8F6dczqxdK6uyR5Wz1bW
eWQGd/1eGz0tgHGeQ4jekJmLqb4dlS6uHDocuwFj7T3Lev2SBUPyOEp1N3nmnB3appP7ZmlmWMcV
OdWQnR/RuavnqZBdvG/7EiYKGxhI9UbDlQ7yPYg9omeaCRGf8ujepKNdPbHp1J9KB7nuNtNdufdT
s/qYuO56aQvM0r7rDKSSeqBua3e2gR6PxTaOvO5H2kJuVeAnjpbO4v2EgfzGiTtPbhNg5gukE8qB
7Yr8pSFbVAdfNcs65bKrk5fM1j52xD2JpfXBnJNh2/IdP+EfpfsEsss9lZy/xt1SeMNN08voMagT
92B0Ot8j4XNDIse1v18W170xkr65sGAvR7Msl9NkiOCkIeWSM9K2IZLMIWyGJcMe3LlPYzrqb6ap
sgtxTfrSlm2gtn+uUH4r5mBU0nPy3s74NmfvX+uTpipsP1O4O+e+pp1Srm3dyWYTkgYtYbg71YWs
jvb45099d3ijKvLQYYBmXymNmMvWqukvzQwZ6cRLJic4NzgmPwNkY2Goe4sa48+f8+7I/vY58Euw
WVHtraqHXz+H+C936II4Okv65KypZlt/fjPdO3PE0vPPP2wd+XI5BcqQ97osJOCdEVMEnt9SsavV
HP2mD3iTvP35o34vZOmR4IqjFjdh378fpDfkm9TGbLpnG+72Tbmabp0JtgG98OrSeXTe/vHnEXSG
FErAMYVU+a41g5qN11YVzlmv9omfWxDZTewYODKoRrp04fL++TPfHb25d3y5NfQMnCc3732xvhSx
7NFPyzMePaorz1itMyyo7MDlvMJ3JfoWOzSKkT+b9LTnf/yQMgh0uM6I7CwL3+GvD09VysacFdCO
YUjb4zTh250Fxpo/f83fXwU+xRMAa1w6KpxMfv0UFVlTGRGKeSZNACkhTs6D5y9/17z6T5/CgdJ3
EPQxHX//mru9bTWOwXd5U1642CZC/PX/F4+Js2rcbZSJ/kp7/fW75A3TYSjEztmKoAUAP+ehGBc4
qzskHeKmr2csWn++fL+vX6zprCZ8LWnzp3eXjwiLaJmUK89GFbmfBO5PxrOrZ21Q9AtLgAZEXHea
R+TPn/v7yuKTVGjTmDGRB/72RgS0+wmbcSzgoghao4p1sncRzOgM39+fP+o/fEUeDqRN1OCoV94v
lh7gQD6qsLC/r4br1fT35kZTcm2Arye4eX1q/vyh/+n7obxE+Wk6tPjey8RGoBx2ErjirFxkLGWB
akKZfnLgoPO3b/pbF+0v3URe9YDuhCOl9ALP//1NW8euJusJ09oOx3wmCgd2t2eqB7Kk2psKXinD
k4UyeZ6o65j9Ld0Nuvo52tOElBwuKgaWIFS+CXzqVJ26ZP7v526t/uay/L7wQs2xvVUvhYJJvJea
lakzpVDZeMILWtiYp2AsrAD3DuMV3TzCnSjr/3wnxO/vLiJD3qq1FYnO7X0fMFb0SyL2ONycBrXu
7NucH3qQdd/8VrBlgshfn/csFTfNoJrP4+jgN7XTYH5oOqtRhyYe8NJSJWHEB5+T/OPNgeEAykl0
ajb37q2P+ZfN3GyQ8IM4d86F9im6TSd7ETHD+k5huQNcQBT9n6/Ib88mosL1baCVwyMq339gQyAQ
Rf+iz9DSkSGDKMLX15Q8pvPaT//nH0bfyKbRHbDUvN8FUHMEZtwEy3mOGa1nJXBTUEucchyz5rj4
5w/77VbzzdB1Y6rHhsxy9q4uKnJD1F1kLmc3Wq2dPz3MvIicEv/8QdY7fTNSWJbLtXhAz8iW/r4y
wnmSzm7tTVQQbdLdmZzh8Kz5XZ8/R7hPu0udjXRC3rzWyZQw+FO1Z7f0ktdtsGrmhyTN6RMYE4cl
5o2QgzQmhKNpuLSy6HrZe1Ot3Y8JY4k+TEyv7nqMeFXxTxdil5z2gLkM+xriz/elUFoCu/UIQDlb
mhH2m18bVFF6iM0l2P35ov328vNRPAPQENATeL8NqGDcWf04w29pkRPDRMn4/k1FDA3OyOpCYtXf
9g/X3esvCyM9f9ZDi1efIQAC5Pd3qdSFLZrWkWe3meV3KAzjuZWYx98aIq7X0dVptCKXZ56tv3nJ
rPePiFxFmog1MTKvYwj2gF93c6nQOCC1IScQpG+hoXD6bg65HAigbYXTHPlf8B/lcjtWzJtvsB7y
BtrAKI5WvwIV3jAB5lDQRdT52q9pWm89WAwtf37DoLQYPDJwniK98/rFKPlJU+ocAyRJTKpz367u
naxDZrA+XspgMzgsfSvq89gudQdeoZvvnGnG/txFzI8v+ZuvPW1G/OB+zBT62jGNvN0STFPcT3Qb
MLn2BulXqXtXLcLQh8rD6kMXG9Cu6cF/vaItbZZh5zlDQFZTixU6J8AGtVutIcwtjeYArdMz4DIR
QjVyBogTImnADw9Niv9/U5mYr19tna2q6p/kgKEWSnzDz5nTFDcy3pdgrtdmKObd5G5cQDPsPPJ4
qpNb0aJENRREydEdc05FZaP5r2+e+bfik6gWOi+BWuuapuZdS0rlQH4vOwi3OeE7HNyXdg4wffrG
/FDPukjuECqp6iqPm7G/79D/FFsURbzdlSjq/KHSKFq27dCLZs9EeH7ITaTGsetW+QM6hO7bzBhc
0+HNHP3ddkuMEG0j1lbUmysdfhd/ka/uvGK1pSlZI2xmVGtl8mpcya10NADs7lNiUea9WwOZ29IH
oXPVa8wyB79YyAlEv8hPHFDCIQqb7PLUzNlgPM5Vykc3K8xgG5goB5pNouzOui2n0ekfRGpgZMx5
XJI7zqtgyMTiwVNFQShP44hVPd/CJTJCXZdwwFyLJdzRMU9QCa8A4ac3pd6VJGxwOiV4rAkGnQWK
mqpV9LT8eujAMCjOsBvGs3QZEQDM7ZMoHQgBfurwgJUJ8mpibFr2hrc6gJ49Tx9UMloNicsU7ixc
D05hRCPEx0q2VPOPoNfRHZ4jlK1vLThHDfwydjKLJ4nv9TWNkiTadUOHLvvna+Wuqj1zRQdNHoD/
1xK/WUtzfhFPYhYJU1B2xSa0erQVYes6PEWN7656N+VwXa2u4Dvg/Bu+IE6exv2MNvLu52hGQNfA
HbUWErGktvMrD6GpyNZObEt7flPjdDrCB1wxE+v257kDTcaE3hXGcY95xCY30zkj4ig3uwtSI17T
ojaYNEBK4MJK0iXsfRZYcXrfvdmHBKiTdl8rq3sotWjmF/zxtgHp2HPy/MGvgnm4dmYlntwsK2U4
kC2wfPcNJhk79OKWvF9ETRc4WaiNbd6/CYvoxmEMQIJWQruCZ0UyzUEZKnvb+0hhnsPacAh3Z4ir
yLPBUh9F6DZClnCHILO2o1u/KJqSwL1KjVNbIng7F6Y502qjQ977NMj0MGbTzx3//89J/3ZOylvz
l+33N2zRdVqW37uqf/11UPr2t/49KCVHxV/RtIxDV/PCXyJWAu/NnWO6/tss9G2G+u9BafAvAkiY
q+NfXI9uHpvuvwelNsEsAXFBnOrgTvCT/9GglMCRX/dvMxAcgi2PHga/oAkj6dct1EYWUPSyNC+l
aVRJM8AJcI0tAMgI4L2Y610ubUAPiz3W7Z4MJwEzv+7t7/OsQD0WOi2ZMy3dNUwwGVQIu9HrzVpJ
SW4f1dV26sSX2LfiZ1AfXpjGrvNxhDd5DSW+v9MTCPR9WmUOiSKoLcmR5j+GozsH9cHIkvzY9ll5
8TLgbcjZ71Xb21+MCWT4hWnUDNTftfqrMYMp/2zn0eBddbrRYEqVOw3oxAp7+Ja9DW+tbmY2RsgR
KOC9XiBB67xbtnZr2ojZ7eEzgtKJWdNA+Mh1bqdg95ATevU+594+EjJQuKFtIXre1SpKn0WCtzpm
/gUyJs1or0rXAQkJ5/bRlYN16oBAHKw5+6aoy3epl67hKU0K/IK2/iGz0qcFotudmzHBPPK/2NeA
vKOCrAi4dH1p9+0GcbS964XxOhOMvfHNrJhO7BZsFPDsdxiaMVGPQNq2NCobZ4eVtHsQpnKux4B5
lOiHlacRBA2nfh1EH3The4/1Gnrd9ovln7Bh2MY262pHQRyUrMxeG2WfRpBpO8O2CLNEY8Q1qDHJ
D3N5doNKEenoMQgfiildK5uI2fCyTJd+6GM/NOI62XkpluimjGVqHqKY6QzgB/CNLd0iq5+OC/Hf
5ZbmEdnJMmqyvb9E0VFWhfWp1jYQUd0Z+ilQkH42fTx56VGSSq3gh/lD+Rz7HrKn3cAeOxu7CTB/
1x2YjSxmd0pipyzwDCgnFa/ElLYxd47MVMdRwa7oZGjBubzRCCl3sxnhJEAYfqJ3/eDjwidYjcTZ
PK+mLEwduCOyagoohkGPphsI80Zpw043nWORnaCjEcC6XxMq7D3lM/B4xzrFQ3vtLH620ZMmUb5a
05qbEJ7zAbhmdPbycl9SmT4bRnI/I6DbtHzMPtZzv8Gr8VmYE6GBXhrto3F5pJvenRpgwzvtNgBZ
CsM81Y7M933UWOfAYL3PKWd3nYGuFwNwepa0kvawIcDCq0WfzIZX03IV1JfFeil7EsMbAfwCtgMI
oz4b9wR39/2ZfKfsRFX2paWaOLepjC8NkwlCugtzBx7+wPgs7GQ97GE3cX0MEh8KowzjxggM1JpZ
EsZJ8t3RzSc8GeQcMH3APGeCrJQtlHz8ivCXhyW+Kh2yt2nB1gegq499anQbUaVrorgThbLNxB2/
fXbJoF0QVE+j/4TAY/gOEGUhvtPm4vCyHZt65RSwQRLeR35R06CddR4bWz3kfnqlRURdOpjEzuin
1O0PIIuCsxdPD4SfAhgkiJHAgV0MML+N3ST0R/ncNc3BX+brzDJmIMjDvG9r1e/GiGFaHMkPLuLo
zURW6VYU6ruSUEytcnJx9STDY2qU134jRBj0UB3hW7MIpv61rJHcZ8XMJMkPBAQTqgGTTJAdFIyS
4eg48WzVnQCbwQiGuocU5iQYjn6rvmpvQSZgmcHZZbk8Dy0TszmysxsoDxnEQptscy8V93HS3I+A
NgyfL6Wr8mYmpvNVratZPkReja6tMy51bcmH1Grcc1X3ScgNo6SBK4NUOvlkGtCwkBX8SPD9H2Ov
44iSNmoDnXkB6xAFZ1Rr9q5jWb/v7QkbtXaDU555D5Hb3jMGN/csEwQ+Z8bkAYZw+4+sK8PWGr0I
CoLdZzeZNZBg2ef9weRG7c2qGZhoOcmDPc/BdTubqBuMfiuz4jN0YStkJIfou9iX5BMBXKu9DYmV
D0QtsrogY8Wfme1JKbD59Sr5msgUonXC7tBEIU4NAg2z/gnClbu3oAs9Tvl0XRtNG86iz56RtTw7
cLo3yhhfOx18cmOiMgaHIG0x1MQFKcg51rSHRnqq3OwQWBnheVkjbywRN4fJb7+WRP3tSPDsjmZv
PdWRl/MA50wyikSNF6eZzJtE2A8DdCrVJR/c3AKQDDfdBOyxYaXd4dp5IWqb0at0wnxdS2vDv/M7
+9Cl2fwwc+tQeY8xARSu9l/yKBaflOO729b2eNUMyYnVG8mLHHdjk585Hfd7Z2wsGIGZD3WsThmb
BwQ554vyDwjR9Smp+iMMgvOYRvkBkGcaxoFRM6o0iFbNVaijAL0wcmWOhXKQX7HT9ytv1/BvFuLo
75NiZc16bXNNmIURLtNI4G/mJF/q2ZXhZA1XcwqKo5zUs5DjsSSOJBg1G2sW4BSCLTPSB0VuWXwd
5/IY+MunzMuhDvF9EA5UeSgdL72MC1RtVMN7CVLeCmMiTG9myL9gwiPihwdOYRcndeL9YtjLphti
+zMJ8/UD3aO83BgMZ2vgF6xMY2GXd7ExIsmuWmjQPftaTSzWcamcbCuEqPflUA9XFthmVB4Wh5fB
JNXBNp4TY1q3Z1jwFeAcw3duJoy8HxBrlLdmXI/zVi5KIpxedDY8lJnhn4Iu1+d5tJ/lDAQEoI0R
H6MCbQQQx8mG3qfE1G6krABrs89aO0hjXwtjvBOJh0heTv1D55R3U2kYHCCN+2JJhlu8uh87QhP3
w+xWZxKEPvqdVE9zSoqrgfiFxuVIDKdqXlheJVCxJXrNtGh36KBaYGCGtYPJkxxcBVHS9+FLFLnk
y3bj5zWQfleavnEdo1b6gMdt2hAC7/9wB5J+Bsb4Gyex1Wvle8ujN5GUnQ/+Zzt36pD4L+8DRNt0
a0SuGeLxyp5gX5voKWieBh75k7aN82+W60vEDcs2JLfA3WX+zXvNrxdzgtkV2be6zb8spgGdJCjH
j3Y37kwm8Te44hycD2zZHgxIBPNpKxMOxa3c1GarLqjdK1jEA3nHEAyuYckd+zzKQxj6cFtB8Twg
jmgg4vvJcE9Mkn/Untt8NHRwrPplfhqxxe1FkJJNHBDJckVI2Lcm97+yOivsmm6w5Qw3PKeZuLil
HRzqAMuPg8hrhwOKDYLDNTgiEM6JY9F+IfPYQmlho8axnOYqEx1cub5brgpsaUfYRDMBKM1XFRci
HGaViru6HsUjC2SHYGywlb9xezhiB1nG6CoKmbN5dUb5uWF0eYld+ErEuacfVlPPgstD+auvYbEf
i8QWX2iouF9A/BEDpPs4IHwXaw9t8x19r3xv4ahD64QpB2vk2Ru0AYcZU4Nt3UYcVGze27IlOA/U
/Lag8sBTlo5xEhaRoC95adFI7AEDxo8QfuhlXVNohQWU9jbQJ1wG3xhjwacBxrstmJdhEYtXcUpF
2PfsBBs2yQN37exkst8EnGS3qgKWM8vhZewlRihdD5uSWMGto/A5tVHD/pdXRAGWkJQj6KHo3NTR
RmiwSdoME4g57aLWvsmSzEYm5LYHVbs+2NQCGWHPvCn3AmRmyV6NTfvQJqM8mOLLoBIKJvQQu6yI
nuk6FRvVADwypI2Zsa63ndNiaskihrdLufMaddQlz12BQw/EoSVWYGSN3Xsk7nluWE7gLiOghDTY
IBvXefIyBf2VS4EP7I5LTOzAM9r5agdFAWVQWlwmF/NWJnxEdDOlIdo2clJir2ZPVNWpquRDgLjk
QETMV1UOz6hqyJ9zyaotOKdYvQPcGB0kOT39tpYLMdS1014b7TxCyzasDwzdYMGoonie+44GCnhs
CO+GZDjVEiVRoQ1JGKhurKyis1boZ7yfKKLQaYVpFaXf8lZsxexpLG485bNyN4spyfWb/ejZE+oK
15m8aSVG2KEpf1D8Qq5Oup3IdBUmRm5xS0ekjl2y12oonuFOpVuFT3WP2TnYSUmxg43A2SxGpq7J
xIMGilV7H5hOc+P60Reza+NtkM/YI6Z8vm8WpJBB54pwUR5Vj8DDYtbZTTkvww1WnbCominUHTzZ
RJrLDQaqsyF8E1tWZYfeODKAD7zpiqnvt4rzBiFSny1fv8a1e/BEN1xxzF24GMBTlT5Ffj7uUKUd
VPLD8BuCwt3OvBJdVh+bvL2D7Xop54TlMWn8EPGCua9rjreI6ewDkYwHq3IE3arsQtoLG2hm4nj1
n8FH2xs71a+zN3yNhpgU8Zznp7Lvh/7aq6LnatQ9/OwyfjEM8isGwOgQunUY296VDvxPfo1nMAiq
Q87muLFin2xCuOcbozTFlZT1fTZRnRldZob9oEmNykkPwepXTZRnxh2RSaMPPmjWbAlZxNdlJ2iQ
HtTJfvH97tTyBL8sbfLdzvGv2NG0bBLb6sgeljh/AdUXn1WVFdUuTUVxw5YlUcxVtqLAq/CIEj9Z
3k/IKo+jMTerJTc/ZKkRt2Ftkd0RVvhBP+N1QaZH85NDTt08T4OvaHQm44mqOsfmnpQHGZRyXy86
vuCOdvdwaZ6WVqOoroLbwB+yOziM4oeTdsNFJ6l7rm2/hXu3rEnQ0bJ3oHA9yRL/l99ar5zhs2sS
sDngx+YtpqgR4HoVX9l07MIBBfs1LWMiwPQ8H+wK0ztB8tV+JEhy3zPVAJ4MaNIu0XyVtgSCS+et
WD0zadfHW3obxgZFHXmPA/LiOrN3VqKiWxeZ8NFTyxcC9+BwWh6iXcUVo6i9LgdVggRaTk47Iluc
xhvkd5QVXYIQNQ9esFGBgvM9dJ9Fgii3dkrKoFZvp5wf3wUYLnl3Ynem3OPUv5cWoSj9bOGUo4eZ
EBR4om48eUWJUlsV457lytmxmi/ceqfcKSzuGZ4eDlP+w5AZ8sBRmI6LPWefxzwI1gQQM79mq2YX
Ar5J6GYXXMqu9Dd1npHnEnnOZshhDdPy3gC7anA5dybeEpUegZWKsAWCtkFJaALxbfpzV9k/Gk0q
IjIsiM/JJ0unN4LVfTcTXHKXtdzGKocDG+Qkmio1AUQyxMYlPn6bo+e+TDK7Sy3EjXlVXMeu96Hy
g+5Afd2Ec83jD6N5XwrzEE/0O1TvcJZxkmUNEuNHIdxE+Nh/11WNkrC/Xujfb9olosO9IlYbzlmW
XYYFIQKbqQcBFhFTQDhBiLaYVdkxo2NSKfTgee1QtCxn2MZROKzhYubQs0Y6ogXGOH4ZvexL6jkn
XzZ3M8rrUwrCc8sR8sIS/aGOxnIvh3nHUYsnmS5/2I8dVkCRmjdaDNbBnyfaKJpNl54vqm3xgFn4
5GfDTo9uHpIhVgYcdHT5sZEGbZNpmvy9RY+ZtfPBWuKFb0QCee5OnLz8CccSx8HeMDdak0tBR2Ar
onQ6J9DTN44sv5R9FdxnscGN9J0DLLxki+JQP6OouPN0QKJmDQLQ7sx93zneRrZt5oYUygbxNN5C
8q+XPRVR8t0XzU2noQP67iuAXLrir70oDkPv/2jHpeaYm2L7FTojJj3YNlkZiqzOtpjcftR9m4fK
yF+Sxkh2zdr6Xx3XuVXBjtU+vRKdBfG2LOkFJEJTtuDczqrsrk1YoMNuaN05rKH33EKdts4GNT0o
7lih9x85lI8NlM1uYCdH8E6Km1k3u7Kby3ab9B5zfRcSorjAGghdUH4UYrka9nRxUOCowdnkWngN
O/TSDEAMdHuQ+IKDDRaJ9pSqhgEIq1q/YXbYOgWlcYMPdqYi758MDJ/dvvBRe+5bI59aYMsJrTaX
M8LC8mEN8ARkIBoygLhGTlTTcyDsxbwasMB86YCt5z32/6CjY/Fz3Pz/ul9/+F7dvBbfu/++/uCv
FBesc0n/P3791+7nv8ffq7X7/cu/QG9I++V++N4uD9+7QfFXf7LL1v/z//Q//rfvbz/lbzvxno+N
6A+OparsX8t3ffi3v/M/+/DClP9iROyyEq76R+bw/8uwhJOFGHTWXDxJmDuhuvxvw1LwLxN3LYIR
F1ka7MK/9OHlvzAwYn5Cs4liDZHoP+nDQyh814bHK+UKm3+gJa66wlV28ReFSs36SATvQkwIdYbg
lSnYhhAuOKHTuPly9MCylyx4MekYq0XgmnhpI1Tc0m9dRAdogw/ZIvDETJqZuNeGta7qPPerJqtv
R3qKLzkM1MtVRXWjPqZaNldVp81vmR3PhAYCMB82JnLyNcl4HO1DarjVMz1Cj152E4zjmcNIO123
tVvuEqakuNnZj+n/ugRnMk0N4dj2G3acK3NYahjwtU96aFZqa8s7+jIOFhJ4ds6THGdzCZcMYAFS
Fl5CuJ9yH/hRQpzyVLK0SzdJr+FXT6dBDd7RaIf2NFYFENA2Lef7sTEOVjZY28oKPk4ErB0SQ/UU
7mD++K04nX+cna5G3m7TOcCskASC6eB6RCakgOjwqAcaqjLKfNQiDujicg1SYwfoQg0SWFPXkf1M
IKceBLtS6pxhJXR3ZMdm7mUCw/aVK0LeE57+qH3Sbq1PWAs6UMdeG8/5biUxY+Eg0/LQ+nVC9Oxs
TdcEpxBcqtaaQQiz3NPgKUYc9DJJevuYpXOCYoU2GigT76IpETlthaITAqQ1AaFDRqUQxC1a7pMo
aHaNFzUBeHSZ/QlkQW/DdM+rtzXogc8jWLWHrsOnxPHEmL8FpVdnPwJOqT8WgiEn+8YqO6fAHcCZ
b+/26ap6YN7ufaqBOxOCUATjFZmu+ZlZOjIGr82jhLp8yE4ptZu9a1V+L0TV7syUZmeU5NNtt9Cu
WZ29PJYUr9sF5CAeJiHOfpZXBNGaek8SaA40PrmFkj8/9O4gSYgzlLVNgzYpQ9X08dn3e0+G0uZq
h1bmR6jQTXY9ZS/OqZjNdq8D3b1WVq2+Wn0j7H2Qdy61ZsPu0fuRzxGLjCl6xF0gzp1Ni0PaQFyz
gqP9UZbDS5JJsh10JZ07gyvo0Piq45e4leYFokuxZ9BkHEZbMqjg466Va9cHocV8X1a9WM8qfnYr
ReSxzPsTVADLzC9rj5Ct3uqo9nO3PI2T6dykUDM4JfVKXiHs0Ocy0uzV5E5v8yF55Xdk/mHS9BpU
fOMmHTCXQbpXSH1xVs159JK0SbDHPQUNObPlLm/y8jwIr35GcHJDnrJzvz7Zt5HozK1n2gw1GnGt
oatvkhTyis95ce+nVOZcgdr8UYnFvK2cPP4EfRapfiNxd0CIP3aKTXVJ3fiQZWN+QOobkXO6Um9g
txzIlAgeY2k4G+JUrCsCLD9oy7wt7YyREc2gKxjrzhWtR+MItGP66DSEXm2yfJ5oDdrWZ0K/aYUP
+MDizaRM+8HFQQAAv7N/GFCkirDnauxznfUnWDxfkdMFzNQiICzGsDTBJh9d+Vjb05zQdRqrr9Jf
4ieaC7G5gcLifOG0TM4XoyB+Rm2ccANhRsHRuGkG8q4mkyZaDiMr9MFHENiONMUuY/84Oy5RaKQ6
+psBZNi+d2LBgz706UUEyfDUJ2vlwvV5AuIMYzqjwWQtxMVDu3LyKDgaRAWBxbAb7+wDxiY9TSr/
2+yWyV2g/BQuXlV+81Iz2CoThxb0Dpzqu6WSRDGbghjJ7KEvWv/EZHXe5jzdj4KM3AKS+mLRlbSj
cOqp1cwMI+pMfMQGxDNAF6SWm2ow7ZdKxZCbkoFh7SRkBq7FdT7DHQiQrtT6oZrpdEmvnT5yaCex
1s6qlbScIwP15q/EDNNDtuz+R8xBMMydhvBolXQIjyz7k8Ww5FaLNLgdyZ28W0qn2gvFvNai8L9A
vDEfPQE+KQTHlDf7quriXVc15itylHYr56F6wHoPn2uZEsarqGQ2UvTxD04D5rEcS++zbRGmvtU8
WjvNkhMmWMLdDbk407asWPn9iRaGR6rOtdXoOOSNtPcyFtYzOsf64k9Ocq6Ctr5rBAeCHsUvVzZI
FsIGaDk7dNAz/O9Rsu3MRaHHEfRHohl7nBCjddLtsgwhQp3vRcGEQ8xVsLEdq7pm5JCFRAe2V/j9
pnvlGbthyYPrhjFVumE0k0Skghn5Ndj2Zsu5KHtR3UhsWqfqa6/2Gd1NoqNR5ybBgyRl+jj6/Xyq
5iiVhGJL8rRIwrttxzr/WAB0+xj7ZXvHcTEi6yxKL8OM/SiZfP0sWrnsErPKDgvl4y5aek7x0MIx
bPJtq5BcBLM/lUqPzGW84RmLr7lsUtmVWyPlOOk6kog70gLums7jGOT5UXUuJ4P+W5FPy8XJliKH
90C0mF9Jm+vYT5/kzLnPGRlKMYRhQstcRZ9FKtyvFj/fCKuoTO/wAExU02bwcdEOkxCp2ej90kRl
1sVdunehkl95aV0/Rd7IKNVAJZozS/PT/2LvTJobR7It/VfKeo80OGYsesOZlESNoZByA1OmIjBP
DsAdwK9/H6iMehmR1ZGvrHvTZrWo3FRQJEHA/fq953yH8BYg/URakLXQEBn6H5nK/6w4Rij70+L4
/OU3+dbl31fHHy/6ozoO3V/AxzjOnz37f9j5L4WzS83sBYhOFrnJP938NsUxEuDA8y+S+EUy/02k
Yv47xTAD0B+K4QBAOZJZUJgU5S4f7PtiuLAHwyRiTl2D/g9VcjPn0rK4i2ynzabqGmetMzUl43sO
pyyAQQtfLNdPbiC9Yzf30WNRBtG8qvj4N1Jk3q0lO+96RN+FrACRJmIzMOEry5ZMweZ0eHG6ssQK
7rcEV1jhQLRBkJ4tZOysjDKmI61ma9ug3F8zArTPfVy6UAnJgzJVUN7luVnd9VoPDyHINBpHiCaf
kTzo0+JQG1Yj9qAXs9URUJzEQBSJfOyhSILyQVr9s0dE3pFk3JEupR/fecSqLhmU8mGxS+7skI8/
RwTwGtruT3lDVYiFNUcjI8atkzhM+tO8LZ4GJohvvl+24MbqCAnDjHwOLE53h28j+dyW+TCRopM1
GztW1i5MfKo/t00e3NHLtsokWwZ7eDVey1izy7fdp7JIkaRRgDKndKgo16Cz5qeqH/K1Kcbf8nGk
/2yrnEXAUOl1m1ZZTmPf7X7F1U8J0PIbfiqIFDgHWiU7o0/mkyxRT60Sav5NoQJ/Uesxpsig4d5Z
YZcdjCK+pQuWEcwzkiGeuPQU8NUcTF1TTiTVcE0+KCwTUXoExmIcfmRlHHY5atJ1z8D1NqB9f5is
trrxW1NfsyBOB1KH7bfMsesTg6j+EWRLMbIMGvm2shqmnTJBD1OyJN2g9DN3rQCmjsuwuoeRZz/2
k9O/otIqvk5WZz5ZhMFsPA5AxAm4xtlOfYyXZv/CtWqmdTtWIUtuUL7YMlU7ETTVpmKt3uoqR2Ju
ugbiGjm+t7rrbkXfoLYd+3EdEibcrjJuHGz3Rhj+vgQsy3UrBYNwY7YxjI/MM7YO1cV91SkTDm7Y
9niWyhlAck0LEIcDYwvnTVkquLrY7RCYNWdHkmIzVCY9IAIQ10kXjzvyZ6H4KYrf62ZGA1rETXBg
Cy2+ZFWc3ZkNUuE0j+fb3M2aBmBZZPxODzsoVxEpN0TSao9hOZ6/4apKPZ/DfZKcUs6VK3zf2WYR
LL7QPjY/yzEbiUHLzW1CCttN6jfuiNS2Vfeknc6vJBJb7soomvGKDMj4iXxK9zZonRXHJkJ3lF/d
pTh6HyzF2TB37R6Ul5rp8whBvISLmoBoVUz1G6/rfVLmmKNqeNQem3SWRUeLqePRndicV6g0aGRT
AXDKJXOmfGYZaahrCsKM49bcqqF0t0T/mDd+Iiq9JEU3a8qtYCsRet2WcRnfysSxNl7r2b8W6RLj
wbM9fu6iBMjZGAzTo+fldrwGF2bAkBTJgfqyPA1Q+8moNeCvrZXRumpXNVTh8F6RjRiEOJRngxb+
sy+qFg6pV0ckYbdtxEqSNvNmLuv3AsLRUqOW4409+yW7fO6mOcgAZTzHqoPElGHdi2gZxCOWGpEB
qssAOe5GWlXICYJmvLcKU3yWXVQNa3qJsml3hVe75ngjmBKO5ELYcTlgIaYyictwHevJC2KEUtDF
HiOanJP3KfbLpn/o7WRQKG9w0VWnubGQa637ALFLs3EIPdOPMhvj4HeCyiPOcwkEVu1+KtGktv42
aJhG7Yxh6LP3iTaHyMG0CinZuOj8/L9uf92kv8u6q7/23ze8Lk2s/+6G/f/UJLNNm935/9wkO39R
b+/fVwEfL/nWIxP0yGyHbdekorjg4r9BfcRiYPomTrXY97Fj+5zTXEwmguLjj33fdvm/XC/ghqSN
FiyAn29NwT/QN/QTP5qE/wKFAyTrhzrAEwj6PNDfNm4qaCeL2+VPTTHykEZVyca+8aPOJxPYcTkt
CRRi7lyYm4kkp5Yedn3yRNgKBhUtWoIZiQM+imI/WF177UbmYL0AX8nPtV/I5KpFroEYsGlZNgaK
7GdbOeqlz8Eu9vHEetLg4VuHKmA7bPqMHrlHluV+0JMg6qWrXysVqdsZ+8NIunC1nP9n6SMWjaTe
pYzxD74kkBeACkhav5n6vYeTol41CRvaOo6RpIN5JSPYmSbf2yVjoOND6Ih52MDRgKY8FBALmXTl
761vtLdp7KqSSUA53kaEQzNYQItqbsqmnPIFjJL7x3qSDq0VMdBw4lnl/7UXIsMJo+l01yZuOx1B
jiB/KctpNE4BHxArUDTDgOZBLu17i6njfehk8cOc5eq2Jb6UkLqi32CqoriPuhpGp5b+oQyLqiXI
sZ5j8pp6go6DIefE4UgUezd2bn0C4NX7c7PRkLD79hAJNx32ZWQx39wHLHfxzpe4Us0NoBBZmeu8
CsazDduhEmuOgMbR6UQNL7mJW9Q7mUdOY5Vv06AwChbbpnAgQyiCq1eSXioqNzeN1HjOW+LGYGYU
qQxXTc2sf8eyF8QQc7GYxcjFkiyiTzIZO07lAqKp22E35mIOyiewjPol2bAPwAk+mJ0WEbhyhnyb
1unUcuMQ5DyPWEt2xpjB4c1Lj6ToU98PQ2OeBXnGvY1et+uUZsGFzI3m+SWmoWnNryyuUyXfe92S
lrVyIaEU0f1/Frz/0VRgMZ39fMHT/zi8lU2XpPLLdxr9j1f+se755i+eEBSBjulZrKB/nHx86xfX
xVWPv38xikMV+O8lkPMS7XoXCvxybnKXbv63o4+1gMz454j+2Twt0/53lsAfzJaEK6D2YWoBxoxP
wRns+wWQKeAYMyieoV7QGLdnWlaWFz//6aL8i3WWr/idg+/yJpgGMd3zPf9i3ob3bDTYeolHz/Eu
jX43w39R/rrJnX7787dia/jLWzlcFozUpm+6P1q2a+DwbRbb5GGqFD5MkdI5tZgxE7iAPAcv6aFE
u7IfZ9dZoRWs/+bt/3I5mXzivw99hH78aD/uJ2gxA1d7VnsgA/zJKv3PAZFzP/+Gy5b0Zzsk2QoW
CZSWj12cg4T3g51CSmMazEi0B1foJ3hPz3Sh6/UAt4J5Qvvl52+Gs/qvb+dYGEEcLJ+LRZ0b8c87
JHRgB69E1x0cbZOVnpcCJHBolKfcpfosUDiTMQo6GJBbD0bYRtuBPzYEHVReUMMcFWlsEdCLlRDw
+RHpF1hi0g1DJu8XXDEFJuhiqxWAZEqAxpJT9BFZgv2blek9BWj/tXIWJJvsTesZIQHWtikcyg1y
TPuctAP9yCS3N/Bgx+eJick1jWYdr2yOlXSz2rB88twi/pxOfk2SrLTvo7h2b92+yh88lyGYcpBu
wVmKz4MiN576NNos1GPczaTwqWGej1TQN+gc1M4uy6+OXzzUqfM7A5b7XtYlI5agPDXm+GusIPOG
SxQeTSnMAlhVNnkzt/u8XWD0ldi4Xaa/0HVvj36W3DYk3jCZYMrhWOWw5QjqnUdEjevQ8KITe9qz
b4jolCUptM0O0XWqFO5DI4SDT9jfJLLsPIdt/NR72AuGgHNzqGLgSzHyJh2pw5wW0TYD13PDNGY9
JAgOIsAaV25sevmWFmg/LbV4HB6psdGmp0DGnlofhkNC8bW2ApyBDUg3zDuNYJBTjVJ6n5zKNz4n
uZK3VY37grCJ0XqqRc7EiJS5A1UkLQMpMYIC3EiuorKVN3VhuluLTNddqZECU99ndy2B5utMV2Kr
psHaqbQwn506BwyrmFQZSWoNr0Nq4ixYm5O4hiIWP6UJjeQqhaMceSXgotZDiavThSAEpfs6ihJ5
38w0PUvZXUf4Xl7bOeifHGSLBxQC4kaMtncoK+4F5uzpbuircV+V9mtCq59xY4q8LPPtEeBoGt6b
4KL3YFzlzRwb9d3Cj7e6YbohVrkhUbYpzJ3UEPtqz+VgnXoN7YzRTfcydIarNGIrh/Lj3UHu2kWR
je876n3ihUX8azbkCTJw9zN5kSenjJY6U983U/6JGRqNEpXB0EYTedV39KXSRNFWH2J9D35N7C07
NQ8C7/1hQnN2dJuuvZpqc7FHxm59W07sG9zRDJ3BtcXmvR2101tn1ObCcKO9FWcGiV2eBVI3RLJR
cE5EKYRZMY9af9OaLe8Wk9TO82IYNgJUIBNRk+D/N4LoNcj7ikg5kjviKNJXI2OPNaQ2mrahkezp
HUQ8+6WxIqyILlE00ApxcxrgBJefZisR12NoB7so88JnIu0zGiVptfH85M2O7M+hmHFQ9L35kI6T
ebCU/Su2oWsjKOLHvCaknRYWz3Y6n3qnHtYqyiURlGj8I61yNE8Q0kiHvTG6FilbGxUb3LjvQMvw
2MDqmcjGjNUxMmIGRIZ5j/Jv1491fMiMAepY2Oj9DDqeqDyv/YTx0y9XXaeNTUMqxG6wavutU8DH
6qTxtt24I+rCfnLdZonWzWV1rHzV3Q1GY7+xbgfHtNQ2StGE3srSYEgSJD/oZpr5HBV5vyTINdOn
WgTFNQvSfBQg61Y0LF5lrXHXhIGx0nTV15CpEAGZCSl81T5hA8DRw8ByFccQXYpSVOeuDI6Fsj7l
ZYKuMxJouwJ5Is+ACQgT502UG8FNHOVfojEkpqPttv5gkSdvOg3nAVvdNvQnQwIuePZYErzbdKKv
AvmkOJJhIg92QD+g1rN+qWkNMvyTC24ozKZpXXg8QKgHx2X6axSfhW5NGvOzc4/929tAfxNrQTpo
t6rdwt77RdJvPXzHPCfe+M6BwbjN24rWfletc+lnzy4RBocpTFGXEq2+uAVHhxMBq0cRwPEYZt+5
LuxUt6hVZ0WPLDAOiDQ91E3+776waaYqghk2beRmSJ8C/6noRrHHLFxupeVMCDkn3Pm5g1DMC5PD
kNZQy8fBPbi96956qQBubcTxr4G7hWI+7Ysp4fKrZPwkWLk2lhMGtBqn4skG47d2TdFAgOhz65EM
3K2H+/5zP+XOr6MiZMOT3vy5q+wNDFAsbVkj5XkQTY/6OePOw5J3cADUrXATGhs2z6/kl1qMRmW+
8+KoO4Lz10eV2awZH9R9ZFEcwDbWwuO/bPX/6WrQHfzyv//X23vJKoKiUqa/99+X6sKjqPlZV0P/
45Uc4n/xom/1vfiF3dAK/sQW/meNH/7ie6aFS9T/UPhQsH5rc9DLoFKFpgL6ahlyMKT4VuOb/zce
3L+U3y6gGB+rHfUKVfiPFaNQaHZNM66PCvt4yok4dm9tqZvzXJAn+adL8y9K/b9Up7wXPTWIZbSC
OfP8cJ5QnHSBMYnqeIFbzgoyGwtM+DxxBa7bdv47HMny976rhl0OVbSC/EVXxbbxYzW8GEkbuElo
VRdWqzYbVibMvIC2RnBNVR/BVbDHQDyhlbeefv5l/1IbuwiI0OqBqyHNDRTP97Vxa5jdWHes+7PE
61EWJQCDQqjgehIzZqtoDp9JJfm7r/wvLrHL1bJRkC4c6+W2+XNF3neIT3Tgl0fsTONdzoL6Dn8X
nEi4ABj+feQLgm3oJyZv55D4R0Tk8oH+1CTLTAOJbCdDlsWovvLpe9AZI6a2DGxgwZHyXn9+WX+E
a3ModS9nG46/XFzEat+/4dQJmmzRqA5DPbakEnkRsIt5Zgi/GMmgG00DnKeAGMejP+XioVVu9VyR
8ayx1OYz4Td+5z9gQraGlVTugFmwSbpr9tfxBQfh39wFrv+X+8CnTWk5EK75NXnYf/i8VRkSPlL2
w8H1kZo9GYSzRFddXDC+i2vQZIi9hT4JiOBkOHe9K554BqeHhRx7sMzE805pF9jHcoIMHtud9FZE
KnIvdREJPReg1JgmpKko0wKHi9yTyGAsQiWWroVyRR8SMbkhUzSrkwVkkyGIOBvSB5Q1+NB2iZGF
9L1Qp6OUrXE1S1W7vwXKxvvqyXlUWNtaK7uStjveeawS3iYljSU8AC4xPuNEDcl2kZbklosIC6yI
Np/IGgCOmgjxhbt0ROAuULCMN70TKud+rCZ9XZkJbCjPzTQbsuPABVsWAoksgHmGglpjaBp8Yd7K
AKht27wOmQVACYfp8QP7MirVvAYQau9MglPKddhiq1qPZrYMJKT7FkgA5h+UklJFsIwZ1TwYrSGe
3J60t3ROobEAxaQum8LxFeU24mB0lijRLmziwZF8U5oQnDuLDs4MI5HoGf8GtJwBBchbMXAdL4iS
SDriaYAL+zAHbfisW2jhHr2ThzRmPNLaGrYLwUHgQohnh0x2CQH7uFcT2hGMxahYmE/lY/deZEQ9
rhyXL2tNqun2nYYeuwbmlSen0I/S8rgA0ct+5VEDDtvesZLPidLhc9Cwnm5QMwETLCeH+0RVnvNW
E6f+msQNDz+yuuuQrL7nhpKL4rtKuTPGHEG0w5EFnfKCd7eberwbEFHqjfIsLilPd/M60jAlI7oG
pseZ94Lnxmt6JNcNMrHGofaQYuJk0rUgji7X3xl7FxFk4GwTst031KuMr9sqNM+Xf9NHEZp4WEKs
G3NyMPiu94nfq42Ow3A3XCKmkSQGGw/0a3PouiyKrgTHhwZ3hR7Q7Y9BiAETIZCN7s42B0brqJXO
PWc+hPRBmZP6jlzURAQSIYFRuwLp22K1XMR5OOLMoxa9D2A/xlOenLoOW/h+ModMb9oYNspD01Qu
WXw1JfyqSoY+urbmcHqlg6Xf1WS0ak2o4Zze6cmwNN1hcq72HdScfWcllV7NJhYaIwCtU4MBRYii
XK5z99TYUbIdUwxVURVOu9CmlE1QzdJBwZQSZPbZDZazi9IHTqgjR7F6fPLKAdcTGDt+dmM6O27u
gWBKxEtnWu2Gw5e3wmUo8G8l/YNOWg6JfaTcX3snRxyb2J22cd6m45XyDXVwgjqmqWGiOl2Z9XwO
5BC/tx3Lplem/qlKE+/cmFUIRXt2pmtGkiWD4XHJMAENjNytmfv3kMM2XFODZMANN3d4cpAJVHBl
VIei1/ejZ7vq+mojDOcTlgRCGmX7VgkfXzanfefQapslG4oYN528MBOnHIhFAupfrViXxwe2Oe5l
C7I26SJGxC49A82cOkw+rujD58WvSrJYvJBnXKXGhwt7FduUODeOaF4JuyXVSeX6bawZcmaux4JZ
W/lTBoj+cyZnHqwLJT8yO2CcPsDvoAnNZBUSsLBhG63pDcExJz580/E14h0M5cA9ucWM/mjuGvFr
KQ1jPhJnPwRHu5SzDeu64exnSyFRr1q2/RumCdfbyio/FWETXWujie9klyXgp8InP0na56KXb1M5
Lqt/Kp45a5HjNnCdOI6xzruNSE9h3Vi/DkbEOboABH/ThNp/5ASf+5tU6SNpU7hybd0CA0iEz3il
lgHhg1Z1Ow7WOOxmx3ouk6DZ1GPHKJr0Lb1x0Cn4zL8dV9GMiqozjRvnt0LY/PuGHUt+chOyEH8L
A52CtWubqN7NQB4KjGH5QBpclxvXDD0GLl2Jw2BGw/gy+UF9SJ0quMWLZgL46KG1Cky368mKulf8
T9QiTe8G17bG0J0Lxc/ahmDgUzAgLBZOEUu0MN3ErC0LzsY4sS2UNA43RrGE3RekUbgX9l/uzWwW
7cCd0sVmsFinlltpiCumKUktzrYVspa2nsWanoX8HWXxabye5MNO89PgXgpZB0vAkDhBFqRs2jCG
WiX5gtMd7TjEX9mk8LGtnPVeKnmYEsU6qOBi4zpmFHlNl8dYZyRRF0uyGrsuPe7xjkgBniVXcyS9
BDSSpU1C0RIJP08ZC/5lCfQ58cutD8qNJAVtwuPsdRWASWu0c62HweQ87IKfl73RvVc2MUkwvFES
sbO2hDQU7I9d6rJOlxfU1dSioFzcST4VA3NKAjQuH0tcWFxtklFJRMYCe/Mlq31bwCKkszbe9Yra
t0S5uRVzUZEooC2kfkhmYXvcEIkGjc2UYf2qYZgkt5a7UA/TsuG7arVQxypJ8/TBaZuiY7fw6LzQ
TE/iNi/oUJjK99fx6MAIzjsku2nrTo/wE91XLxEsrJM0smvdyDFdYY7JFiy8iJ+0P9P8w2nmXTuz
HXSsi754LGrDPDVDYnztZRvuk0ETgMhnpspJDfIPrFGz6wWFZCdvw1482XLJiIqX2Kyd9B3wXPGY
Lle0JTIU6xXinfXQBPBq6Af21WO0/KIZYuc3cgW544qOn9EQLaeG3ppNktlQ9mNWLQIGu89EQCNp
4zpRWj56dmoMj5CDEDOvU53ESfBAw4SUEnq84WwzLIzbKd1NOX5F8SkLqJbJ/9O9u2KQQ86IWSMB
MR0s5cB+0k1PDstKe5O1L42QGsS3gL/mjkzOdtmrNVS3acv/aAziEjkV2dzQRE3ah5pEqWOuEuNl
NML0ZPQ0e1WXsPVMQXmg6SdW04jTtRj0pWfibSozIhXTD6+IJYzWLQPZOGBJB1M47IQZw72bRbmS
yDmOtUKRFfeFeKgIPKBHyiKxypQkzS2nIum9Mv8KVw7Zt6qjQ0j0Bjz+lnA4nkCNl7n6WkkymIrp
NhwdfeS+pjAYWvM27Bvz1i0ntVFIhbxuKg/0XNottXH0OJK5vcvYRDdZm8DPcZxbx+ydm9Eaqnt+
bfblaixO7HwlTdEc4S6+8XVQets4LG6GnOQNm0t1a05N/Akq2kALzbLPNVHr9ZqcGwrIkfhMhssk
NdzZpXig8qu2ZNqaX1HRuCebIX1KAqYVQj5cVT4AqOBgZPMXvDH8IM7AI7xjuqWTTTmYRU2hbSjm
EOzA3WrCvcsKkiz9V/YrVsOe+ffQWsbRs6e2uenygpu0TFhtUk9yR85EAKOAR3HV3U25zlLEdn8b
NL6cOr47GpPcx4EDsLYlaEH8eOyflZWF7HjkfSPeoejHFmNhhudO/Plx7S+nH2CtCwIalyKqDA5u
35/WwDT2Q1b3zaGoPBbjwffFU9tJuKDOCKbZI2EhOV2Ww5+/71+O/rwvslGsUZxMHU6K378vR/IC
yfnYHMas8IjGgwVVdiNJHdpPWL9IyJgeiHNmLUZdTZX783f/y6CRdw8tTsU84HyIH0PRpi6jeyK8
+vARDjTjE35CGggwwF8o+2j1+K/ZSI4lS+VtEcPSrC4f4T8du7/v2C0tg5937E5fZPdl+qFnt7zs
W8/O/oWjukfIukNj7EN3/G0u7zKXp5fkW4yQsZvST/vWshN48ihsA0LJSMLjtvtny84Ofgn5c9wK
y10hzH9PmcQs/4enF0gBIF9izoLA8oGe/9DYslrJUArf6SFURmqTNGIjxuTolV8RTOVe4Rtq1WPs
dtGpNtNkOKq06u+TxlDlPsdvmuOgViBTgO8RPhUN5CIOktSiZozRCBF/eg+WhfIjrwgICTEzzKOh
yYQWib2B9xI9jVblvtCofysEI0L+1JOio/7Y5/V8Ty/oqW5ivOEVp+dV7RVRtyTFdIhmsvlmQEZV
QSwIxEPnEQ7YN735EubIpEkHTq2HqtL5qZNYrmqCzLG880LtYYWA1DOeiYfEZmwI8RDNlgFZzQi/
dpYEWNHUNoGWqpzlkdAgXGEOJ9s3W4GsmXUXEj/eZZhhuVAXILz0k9/4/VNAqB2v1kIh1szlHOyZ
sIf1OiuH44wbfe3bAy/sXN1ZYG8Wb7dXhmX4WWVzG68rzpwvftnPN16jwrVrhZACTXCBve6wDRqE
vs4i0HoFsGfadRyTSGOq7QHhaCgBeqQp1hzdIUmQWcDUmrxx43UYbPcx6Dlxr7zBFtdUw6G5164o
nqe8ABmg4kG8yHIZe+ejyV8rymS8DShFv86JDtej3UanPBmTd4PxxrlBZbm/fL5u+VTc2RIgFP89
WpSL7Gh4vNa+51d6Z8qh2nP6VzBfmpmJLxe5C6Z+S1DakKz8PrUYNAkotKuhz3N9DXY1SQhBEvl8
QAcr7V3ikjm1t+dlQJgh8wJUV+en2aHDLB3mWvDfGG6ksfXSANfzdqKZApAtuYMCpC+5F2AGnbKh
6za8O7ScrnNTcj3BIOJFK54lYWSPSSOnF6rR7joAlvOUQVffAZKQ3obRsX2qCEa6ilon+ZxN4NoK
DnlXiExSQqMzOAB5z7xdQUVaZzOKaHe2umpPzIWzwojU6xXgPW/hf82vc6WnfeB04b4oLPur9gCR
rSNZljWlOKdNTgZZmu+oC/rknBc1fyscimbn1YBqLFyEl8JBydonfjjOu4eoDKebdNb52mbos5l7
M7opOXTDUox1sOdUK3aySOxnAinzfRkAzF3l2HmKzdinZbDPhdk99rXz4vYFSBHX/IyCbSL4WLWL
6w3WDpFDhBKVcTT360543i4NZhh3Pu7cwcTBhxWGbls6BJKmaVHfdd5MhLZhezs9TeWdmzrixBGK
Izw4o21Jg3shGfVbiyjVU+IsVX2Og3OtC9f+hPcTWUc5QQciQ48HdUSR6LDFrTl6ptxUOsp3Va84
xdc99BmTOO31oDsDfo/d3dDyy26xOeRXSKfdO86PMKoS1S8g346OTkzEWbYKKICvC/C9w0aPpv+i
ZiO9iYSIf59klmFiIYJu4qefmzDfVAC7NQiaGgIURy2vWpu85m0mOZDpZcZR4BDXZfvYhsBdtlqJ
ZDskCrqikVfzp9GdTOTTbXKm/SlPs9nUpKq5056TMmHp9oSrDCd9Yxrbimi9ZqWKHmAFUURAlSqQ
LJqFQqyGQpt0z7zpSkdoGxOysT6HfH8b0i9KvmNT1n638eZYnoYIiqExeQsjWDM7X5ULuHhlcqxd
Q9asAWtXjVzLwkqePB8TK7oYDtO0W7Mr1Wf5tKb8pn7PLHBbttd0axmqcZ+YcbXWU0nWr9kS8j5Z
x5rp/bmeBuMpz8F2rAYrmXehHjPoNVXRN2t4CBJJJa5bH1siE10Wc8tDm77pvCF6vawsbd5HX8Ox
pJlR84QSjCjgay1PUeOxaDFa4QnVJW07w2RZVQsABucaO4ysvWo/xizPaNQth8dBWw/CXd4Ir+O4
qayOT1KofL7RJql4GNGMsDojVJ/OQHfqaVPXM9l7QzXfyEC4HyEz/ymX/rZcQnz403KJ3kTyj/Wb
rIv0B8QB1Q4v/VYyub/QlfZ8BkKLbJFQ1n9KGQNgBZwy8AAC74UtYFOs/1Ez2d4vbD4MrNwANxQv
41Xf1Nz2L/xTElthEDMnD2Em/KDe/pmaG3nfjzWTwDuKpwvScUB6hL+ovf80qPIXF64sMPmAql5a
KWGeQCHvYpqYlpI4UnrVmDWkWz+BJwbvxDmyiBEP7c3cdGtLw/DYseiX+bZ267jFLFQL+HoN8zVz
ZdJjfS9T+lo4x5xjg1f7jKbBOfYODCBoBeiA4IbZlGKC85Ymwp2FtKBkwWNGGymJ0HYvrfrGnDmf
ANdcGuuVCK5FghjjY6wTLvTTuoo9bzXUyKb3VuEncksfbnnJhQ+f4+K5s1q6o1QOvLFmreIQ3gXj
Qwwe7blMxfggIdIco7ykr2E3ow+13ary+lQTmRiAiPG79y4wyUutlmkMqW/GWlTAd9aNg6V/Agw3
gPlcjo0NoFX6UVZMrIWwxRO1L50pC4Z8XRvDwVaJ/WnWNMQqm7lAZ5t04iCXiHNsLTm2jR9Hzx+h
kiRrNvif6Xhi+cZh/57JlCvwEZSIv/UVldKlKSf5Z5ejY0lj/m2Klw7PEPMBXKH5tBpS3Z1px7hi
o4Sx0GB7OJMQwfOtnSWOI8htkhIyk+8eXtprgzbts+cATKuIXDvbOQ2pAN79SuoU8F6UqqNdkxZA
mCyv+QjZgo20NA5JivQ23Ndc4Y8ftDBj+mtxSgCFNSy/8KXBxk/adS8emTwjra6IKc0I+7/cmB2o
pHsGgnyFesr4Kw2NG6iJXUFnGuQ9l1wTjAcY60Le18R0upjeiYvdo+d2oToump7P7Lzg44typlhA
A/41iZZ4TFNVTNYL/dDPnbubqgRgJuxoUMystPe+cqh3IMsZ60aU1lNFP+f10jqv3ZIbPQeYF+3o
mPCX5sjiv5yb+WzJchPhSyNSF1UK4s1ecTdYsuOXDe2evN1LR50Al8G5IZaQfkYTd9x8hkWrMFIW
jx75A/27D4k03ppLCG6iWx5CPxz5gWvm9eQKhDF9zjxraEdWYJvQJYTsWVsmk9xvgsfyum449B+g
VttHI8NKjtnb5nOn80Brr8wjxgfsgQQ+6pI7JhIDKQ00nWIqWYPfTi33CYM/BotLDzSwQSKV7sBI
UXT8sb41Uxq8wEt8xmT7Salwe5kpQJ6Kni+38KXlOOUd+qDlYV9M2K+RxxRC2wOXRC95LpdEnHJm
UOskeA13Sw7f80dbuoe0b6+bIljmicsc9qNBcnkkKCHpU6dLe/LSMmpNFg6S3NuPBJnWbYDxe4Mn
nhxdR89GxiR21TBToOJu43JdkEwMSbcm32VGpQlkztUKHWTJ1zHJffhI720v8z6k39xghs1D3uXg
R2EdOuLp0imfSL2wVoy1bRIeiVbXdRFezy34wlV/ibOrQfrSRzUChrSD3yX2XXZJFjEk7A92+Dnc
mITiHDxXmoTdLJ37djSYUySYaMY65/6xRwyfu7mbhmQL85YnjNKGD0TXd3woLVgOD1M3wpvJCBFL
p5aTBTyHhzxkeQ6qnNDXUhT8HYBIzjHPKSeynmxVExH0U+82A1eQNvZDw40ONDzJ29fcjNpDiIxy
H/WJ9XSRonh5QR5skDATeuyI0XFoP7JE2jNfeMxz7igjtPihCov5cWQCvDrFtU/f2K5KIoWxHYI8
M+d0PzgWXWal6a0X6RK9lBL0thUkc9mIIh1ucMJh+FllRxi0SSAhI+tK0BIbyKnI3EkD55BAZBdX
JfeL6FBSXOIYNSdyb1WC2DinS+huiaJFIstsCGtV4dJag5lYT7BilhaihTzsPc4hU6SJy90d8hZQ
ZZikpK7IrpxmkIdBLA7iyz3vWNj612bPd4aZuNz/g++J85AqgnQ4uvM9zWUbUVq0PQQcl5gSM+1Y
32ibBxvOK8v9GE4kZDRtED4b9swP+bGkkbRN/5MWObeSGzFpPGZB14LHQA0ttw1n+TvH4+kqihz1
4aC5vDZtussTV6rAedZVP4r12Loy2V1WVnIjGW7oJGifRQo471nHRLJ+di9R0oWzrFJC6XTvJL37
FoKp2WZDW96LZLAYvFTvVTKGR9k0y2bQmsvmHMWswCFzhLOeXRYyPI88wQFHYLEak6QSjD2mZDqw
/Nil3vwXe2fSHLeRbtG/8uLt4cA8LN6mgJrJEieRlDYISjIxz4kh89e/A8qOlmlb7t53R3S7IyyK
VShU4hvuPddIYI+lmwTapkHktgrOFZvOFDhyzBKvRxpc3qocO6ue0a2HgDeTRx6lZP8IeqUTaQd8
a4pVPkCYD84v0KMZq+LZxG4M/cH91tTVY5MY/Qmb16jPGwm5gDrE6h+YFB6bYH0QgaUuH3DsttCL
R/8GS6oe892drF3f0c50hiEuCGmaM+ysBFJ/kn7MvI6FNsFDnzthbjWz6fAeBU7YCy/UvZzvwGas
jEqbD0LI45COLXDrADXnmkfehEEgnmrczi2C4p3G8OSmtadNXkHkNnHUP0mWZRrPiabCAgudp+JU
hWOEcIjejAW9GbUIsCLTNRUccpQuycbt7DxsG7M6GEaXpBAkWljbdmHtitqcAlD2aqePcOscwhiA
7XqzxDdfs+/eSRdO5yHgtuzDBAbbwuVPg7OwbPXBX4R3GvKAx1y24EhftJbGajY+2sbUXGuQLD5k
qvBPnhlz9xosCNzUhxHk5y2tVLugRim88QzqFEcuGwJrM2jO8lLaTf5RetVHcl268qoksve2KyCr
a2KY/dDGlsfmw5peB0QWX1KfPnaYA7i03GTbDtB05NOoApHOcZRP3RTJRcAk9lvYMraNex2HX37t
92kur7le7rdc+PVOjTj3ZZnpxNXPH4M1QKLIvH7vxfPnCRugk+Xel6Rb5F3qSNbtYGZ3VuExzhNO
fzvoXFbSBtyts1TL13wkzZ3UBzAvw3DtZ6m6rZR0wsYbqx35zPY+DiZU/UFmb5NueOiCEQ9E71IZ
bYeqa67J5eGIAucaOnPabhPqhtNY9cYJDZh2cIJmOBbBaF81FjkYXLSacURHY+gyDVq6zt9q4I/Z
xroarpuquAGpgCPBP2mqMD7wEJCUfIAMiWZyjyXs4dsEuqpVW/XB1IZ+769PCEsC4l8SmPVOwQcG
11/7NGDtiVDQBhCInNsxg7ZPZLJ+VzBXu2pkKT6CwdKuZNUCZNF8j5+bqV2/iKlE5B7jlTuhXujA
iYrmOad8X/fCFXnSeYVgwOzZ+MDU1i6625HvwRg4Knx7N3pQckkorwD9eN6LVlSs3dYRiQGRms68
H3YaYRLkl3gz3B0lxr0eF2noIKkKOfyTSGE+IaoiFcepdr61BAxtTWGsKgK9XE8r4yghNb3EPWzB
CAfm8kx0+JbquqcSzPQ6koVebAU+nIe440Th5O+rLQ4IJhqZ6eEnhFAGIF5Gg4kg25lhgl8BrcBo
0FpjHowcJGwmukg4+h1U7tLYJk7ZS2pxiKX5XRYbmNaNvFrZYWqYkm8c/skuzZGdKN9o4WdNcIqT
NMbU04CM2As31TiY+sw9+MU4P2qIln0eewQ0MnYy0qhvBR1I2m09t2+us4HvRQYn6xGqcnlULsKY
ALXTTimhmM2scozcA+yCs/TjnCw+tzhpXbZ2yrDnTDA7R3KtvxJak1yhcLowPhqe1kCDM3Sja7eo
WSlTDdxXo8lscR7cfgOuO4Zl0bGPfRrcdtSPVcHM76R1hjIJQrDyAPCFNXYzUjKNygmGr4WBUwQz
1SzupA0ujsb/FHclh3qc53MrOb6ljmDGAUyEkD3PG+WEZkl+yCYZNH1msA5uzvoEcYqn7poa4sIY
9y0cqXPsVOeO7XK3w8PAMlt3KrRiU2+iinBGatD0LSe2ngcKEXeyeTZlbNvlSV+VpNKcjQfW32VY
dTNlOTaL33ZJf2uFfr9MCwyG62RJ0kCbHm30OykrziBWlCLLD3GDKjGqGmbtT8pW4/BsS6SXAMQD
qpEGvRTj1bng4fvDyOEvhMNr8NEf1pW8Ah+vI//wfItX8W6dN6eu0ShTJAdnQU6JcmpgRT0GRmxe
DG1IE4rNuN1nVpYmpMTEqmYeNcSXpBbGg6+PxgXnEFXlz1/VX1wWFkEIpynbMcC919rW1hgzZrST
Q61R+nULT3+EXYSWUJGREs6snMpnrBTFkTYl7T8JYdfV6Y8rXC4Gv95d/0sJjmH+jwONWnrFWE94
oR1JvC+qu05iNhg6v8r5QFLpkJxgzb71UHixdjTW8ru2S5u5IVoN84PtSoZtG53gr/Qg1g667ZI6
f31TP841LI1/uFx/8SGijjXYOrMEQ5j3/npNQZJpFl4dYhomFjSI28Zh1eTii+qRYhLl11ZQ5Jah
e8HJLu86wayiS+nls2bp7yrM3z//AI13Dn/uJzTalm2tEnjip95e8Q8zIc3pNDVSN7B9Yfm0eRNt
CkZSjwMjHjjsb9qc2SQ2F32vdWwn+ot6RlW6N3oeyeEwtGsPxpX9+Quz/uqFrXxP1/UZof9pgeyh
c+yrvksPrQt2jFKT3mvcBDM2+IWqyBrqe9COvn2UzSp/WcijL06TbU53oz0Fw+ZNEQqTi24Zayb9
syFoY99y1hNbUb5nCdLUMm7WGn6d9SDM5JutwdulNEUgBE2ZweC3700pVqXlblTrFKCWLcGm8aoc
ZQO23Kx13Eu2ht7VamB2TChxSwf088th/mnfaaBTINmZpD1GiH8Kjk8Nrcsk0sW9lTqcgWajUGz6
49rq1Auv/k3ainh70u5rc5X1LVXKy5LZqO6XwOVqJdYaBOwoDSw9Nn6OV9vkfxd4mAlpTLSUlrku
5WfA2VDCZlSNhyZhAhaCjZmSbTIR8qzkqqQn1JDhDVRU1B0+DcG3tzf730n0P02ibefnVpsP/a+0
VH9Y2n//kd8m0CtJl5uDRDkTY7xrrY+p3zFipv3L6j3xsSoHProMBBu/b+3dX+g4CNiA9vX7Qv93
o43xS0BoOqt8n+PddvXgP5lAW+a7AxtR66q3cUweGGB2dfPdgV0MoyrmMchu8iKgxoDZrC8d66TC
/RDErW3f2m7XD3vMsHWPIzRgJr6Zp8wNixgc7XLpGMgzPQPEuUFWWQjrLv1OpnC48Qs9dBkdrOPo
4pAoUituRNnp3yq9ZZ+CKB8Ib9gbqY8HcDQauoImNQt/2jeBzZ4v7fJTldfGq4V8Emcnj5Ev2iqM
WUDxnLzC7jZNk/DFEvibwTzG+0Q1KrKCUv/AgKSZwtpyx3HTMb4pNqps2W4ry9Y+err2xYdigkqR
ToJtrQdsdMqOxA7kzFbs7Ogh9v0805lsbZ2h3qav3fSu9/wCfmKzyBs81nEAWHau+q3V8o43/qiE
vx0AOBF5mqbnji1jMmVJyFLJ/ZLNk/g4YLDLLw5JbRGTdO9D1uuo6CSc2wxXIh2PQHqLBDtYAiI1
dOZZ4MgEcmU+Cfkcy4ZcH+zSI2q5OLknfDwONkNDYmYoefnHzI3Ts5oXyvEsM5y9ay/6MamtaRuQ
s8bSkYrZ2HnUwjTE8JKfZL/QpwKGHELfm6qTNtQsGzQHZCXBJ8r/4BezNxLZY3NL5CqD4+YRbqGi
3BmG/o2I/kkAJMUu3HNnhWYxVUtEkOcSZdSV20HnqAfanL56fYmMNsmKw5DZ425OLDdy1uXp2KTe
badsZhR1WiSRKUVzW7hVf4IKimOz6oxbzQnmbT1VSEVtj+iBvnfcbzNI6GjhS3NBTAbrPZVNlQJV
lIFv7Lpaa6+godKz6vWoe+0J9+Tst2HgsM/wt2vrQH7PlEK8sosubY4K2rq90S2GF/Um9RG9MXYY
kLzGRU3bwrjF90GwGCTFRJXi6t2OAzlvG2VM3j2604xZsUZC4yOKXA8ffgN/VqYBcAoyIBj5k+61
blfNZIC41sQ9Kt42Sb9VnSdbDn+v8DalLyvtaoL6NTCWW5rLoJHgNtUiPbtxPb+YVeq2pNzN41Yi
dJXHJZFoKIfGrHsU066ekiVYmg3zB5vIIGFIAUsZF7g46H3l7eokywiPxekVpt3EKrqB+sU3O/Zp
va1WEjwABQcxdxtTU1wpIIBdZJINEzYpn2bUTiucWa+1Xm1yrQ6SG4wMGbtdelLvelHVfCkHR9/3
jCmiNLES2HqGrSFo8PBflZqXXbSmKSd4M3GZ0pToLmV76c/PJni+vQiWDl+5PqCYF7m6pcn/qqmg
5jsFdxuyEHxO5yIaa1A70aWV2CWjbJ6XeLVY+3TpD0r5ZrO347avyblbRdNrLqA4cBLJe6gKS3M0
HZfHc4Zwwt2XemrOQA0Y1ltN279CAv3ojIhtrcwZ1P1UmFN7mIvUYJUfyyXyW804W8OgXysYxrc2
NVdNakSQV9s84TRzRoSYhezyvVos/0QYlizAe2rLcrUYMzY0CiRyqJGd730/HralkcQYEPisml3S
qjwylW3darDQgDaMaRm5QW6e2VAHW8vPKeC1bB2x2+liPMCoy1jylCafc2En+Ze+8/IXFB/aR6sv
p0+Dvkz9tm9sm++avUyoDJTFVNrVxLFPEpYu9NnDFsJy0p/5AzbttLYOH9mmtpIZmE+DcLKZMJl4
1xC6tPomJ+qLEQcym9AcXIzyjtsn2FamdjoQKWc12xj6IGZmljXsWZq6HWEBAw18IDHbemQJ9EQH
AJz7+6Q/qHXz4Pqzd+uSTxklghmOMFMwEwFjQzYijAOx+ccJER9UenU82JeyMrHGVT3Wyeu5b5pr
2nFy6fyusZ47sTwny8KATrgZ5aeRxSUV1aQLZOMgjsdrAFHGRUljuENkSzAQUN0luTUWtOMM12xS
IuWhsjzhMfK0oRDEJ4Zps3+x/cLY/bee+nf4RBZdIRXQ3wshn34dxP88ZsTN19nLj2XVbz/5+2Lf
+8VjL0+fCbXGpFn6V1nlQxtiB+ZTmNOMfscX/V5WQTVC9at7vhdQeP3oX7a8XxAuoov1cIziy6UY
+w8W+xil3/XBvoVF2mdC4RlrR/xebJtIm5T1PEmPQ8XQtvFrh2+K2Q5ni9VPVNqCTq5gG36Hh2cj
qwR1TbaQFaUb86FI8R9sY6J7dz2KvHueaBp7zDJ4zBjf7hmmrDgJ4t2AAIB7AYMoCsIeU+c4xMoj
JC8fY0ahGrz9TeA7JZK+wnGjKeA8Yku3HLrYPtXMwTAdyKRH0eQnH4GPMymanD4OAzdnKDU/GkMZ
06oBO/yoxKRC3pLcZZOmR8LOx9uERLeTaDBmbWC7zFsBtX5a4wK6O4ed2BU/wiiu1z1Y7Y12m8Vt
PkQptLBDbzG0VbOsNwvr9yeF8POcW7p8oMzBldgP6Uo+dbtNoNZ3TnzlsDUrl5GckZc7qll43ylC
ovskdZydaS08Qgf+Nbsj4wz//WNTNM4m8cV07duS8XcpQg1EdJQwJ8PRlNnivgDndgP4DLaObekg
OF1WjEybR95x6WsKDwDVFWURs892IphHdmXEay4gyQlY/A1IGFMjDjherKexKNqDkaVXHv6lvTGm
HxJMmIJqhkdx5IHSIMxotrH4Jcq+EqQisiupOQp9Fm+buBKHgI3SR3uQeb4BRG9stcnsQzuXFi6H
AV1rMDvjFc+3g8j1Txlp89HIe9kWsXiMa6mfgrn/KAtp4x3T688QXuTJSAkLRQaXRk4BoMQQTlTm
SXI32Eyuo8lrymsm192lrIEGcpWr1API3rgfknFwbwoLCocG9OpT3MfmLUaefOsk7nIlVfurMHm6
03Yrdxt3WXKjMB2eFqyWpOUwGfeN5ap0C1AfhhtHY63Ft4Ylnql96tABS3pMAY6ScyX0crpdAhzH
LzyUhs/63I2vREcbt27VOuc86az7gtyJCNrLeEXN2ZFeiZpWoCCp+muGp59nHl0XrUURas76rzit
P3vz3AwhmU8dGAqea2VGUhVrGaKAql76n1g6jQ9Kw7qY42kgHyAG2aGqcawOuj06+Y5IbNiyZT3P
n1P6CR118Zi1VCEdGPNiTbLAf2huHY89SbaCZ2+nRhGVDFn8qu3oAsMFPfLt1Jo3yGM/qSH4hIKV
OtAKtr2nV+RruhkAFpswxH4/gSfc63hgnlhEPjAw/FU3R1LKgA222x4I2sEpmfB8SEsb5UmA+piE
XPOQcObc8TdQyVtDehm67MxUbj4SUl4BLsHCsIRjMszm9RAMKtn7MTvtcETcX8F0He96SB68pGEH
Riamm6mbTd8V7bVkVRTRpyy7UQ/20rYw7jCk7G5NlvbVYSQOMQhBu+bnwtJzMIQDyrnNglHoenCs
eOtZTXpMSdDYdu2qWvU0LTIYoj9BrJLORigy1T3tkIgh3RcQcmAimdrOiVmhBbqcd/WaMpIsZfG8
OBbBK3k3n0E67ewaNtMqUxlRotjwBns2KhTWZI+7xbRxwTKGGMDhriC2PeWFRaUFinA/AUUKJ6NK
rufJYeA95ko9dHg9j47w++uFiolVbZSO5RklakI9ClFxkyWNvyXYvdrl7dmVy7MZL27U9IN5XFSs
tg5/6kxKVnNtlFaXQcjRFtyIDSnFkTM6lncscMdwUvXdrRX01gNSMyg/LnVw6hjA4mWr5D7GbuWx
cSmKTyQ+oVFdPDhXNqHRHBCfMWrljMzGdGF8FfQ7SlcWv2q6lCqRr2PK5DjFx4a0OUHECl1+3C/x
8NWGAxSBJoLGm7rguxpTH49xJUvKnRU0Vo6febAgrBUl0bQKAvdmnbgpNO/z7IZVlYmvSFmsEpGJ
N1zBeQp2U2LcJ9BCDpZW6eeMfgoymJ/vCQNAr68QUSGQ2Rg8YLdQqiTCLPy8JizLoy49g/hdwFHu
bC9bmBT62RWsnXhi+yDvdZPwJyM4L7VH3KJZkqOs4N0MibenwYOAFPfZ65jJcd1WkddTtZy9szGV
UWCZ3bELDGDPeVJ0kb5YNz1YOa1ZTFZKfEWv0zbJLpnOlrpgCRxKVQSRY2bGCQ1LvJvH7rxUVQce
FYu70/RLmFQt25WybK+EZSExGu302Kvgix+I6pg4/bcugMI0FvOXqiKvQzekQcwqjxujT49+PySH
cS6tqIr9y2TEdwKMDs44E2fBODm3M3IugrGGSyLzu1EftNs5zW8WruspXhyMTnp5gSisdotbQJuG
UOCQLzcN7s5RdNs28hIyK6ZRhL29yI8Mo+VmHrmud92YJe6JtBDJhJTlarNF8m/0GzNb8PghjJJM
VlDloCN2a1+Bno6DVt1XmR5oz3gIFhllWEhUROMD0hyYKPRW0qNLmnZPGIbEkJXdOx6RypGaFKUM
/jD7MhVGz23lGBaZfCyXNjp5xb9Kcl4dUuJU98FEqZ9GLQKWJ6sdlycyPJcTVjMDq1k97DsJTyGc
Km9xQ/wf0wnC28zRX9ZcgykVoMJ0tTUqTkyCjN0Xmfs505eR5GbicS16Fa+689FWnSqd4DNMM1vP
C+YdM1ec4+ao7QeBgnuQfreb/c7AAC3g9lU1x2vRWVygQjJ1RpacPNqkrEYeBmNSmoqBoqOy7EPW
KzoeXTnjZm5GAwk32efzmo1jEW83VulWAI4mIsWUY+BveHLpO4dlHiHZMvXBtHtjtlHwTk4AQmr2
qv4wjUc9leMZcrl21LrOXfXnOnRXNgLBB8PRXBE2QnXZDtk/MhsfLmGEI8yNiqTTPw1oDhh75Hp+
66d9d4ecYEbj5koyd5nMkZkdE9cOW+qgjHSZNl2BXGDDyN1bA4ukeCoZLkYxAMarKl8t6oSdy2dl
ZfbOHZy9JeKx22SshMGO1XCzuiKLmTBY04E1CUtHLSPWhDzl6mJLlwabCqhjx4e69Whntv4EzC4H
p417M0xGyy92rbRrZlmF0LHaC/HM4a22FhfpjGDoi+0xnJeeo1cbPtG425QFSMRN0BfpdsajJzf9
6JihEK6CAe6m1YcakDz6liKFMuGk160zt+jFK4E3mRRCFBMA52uUvbdD2Y/FlijpNU7Y7bcBHxrT
+QGFAxQW+W2J/fQz8IHsoyld7xzbae2G6zwf+QmlWUTOeBJcV7qD+kh6z6KyhicmbbTGiWPvSo0E
FnNx9GNvSkXeXp67nyykJ3OIXrY/ZEh9eZaYwXUJcuxXk24S+V5mvHCeZqds1oytZD3+PBEVIKGI
VV68Y52Q+pHQFasVUSHJqBmmMhW1to47E3DDam3LaDLYI3UfUU5M01l500xQZTLfDR5UORCeS5g7
xNA2aBBeJKvXjr1EQ8hz1mAfaY2233YmSU9Vg7fZikW3Bc5ANvyke9/M2lyuWta5F79T7X07E+sV
cp7nr0gJhwf69fI5MfQyiQDIB6dG0iBnXqmf9Dbudh7361nvEheKmphDsEZMW1adv4YQH+mB3W5l
7RnU/iT+OE48Iu8QacHRXNW72W2dPerj+rjo1OItAqkHFlrWTtP7rWi7HOZzj5Ukr6ZLzs7zzCEx
scVM+bJ408o64+Szij4jhLdrt6DKyL6xSRgNi0kyJK4GvuuE8Z7bjBqlZNtNAUWwUlq4jiJ+DAdv
1o3u6ySa+RtU+RTNWBks15NpLtZu7u3mv/3/vxfMgtCdteLf9/83v9b1mor28q79p7pZf/D39t+G
KIxinmejt9oNfST/v21VfP0Xh8bfwNpogu/FDPmvrYrJVgUAlc6qw4Ah7LBw4XEh0v/7Xyv4hSWw
ufbsBvQf/AD/Sfv/3an84xrc91aTpmfops0AwOWv+4Ouv+S0UFWry4Pj1YWM+BYz4nLKNWQuXppg
VZUa1lpsgeWehdsFG6RK/REGiqHvVEf/FqalrgUwVEXpRClYB41TNBmjPvjaTiL+MK9OnkoaemRn
qPY2CgiIwbB9GNCHSDtSbmm2SGiZL2w9JdGamWmM5AuRi9prhtk8oodlyr76ihhk6DAflPoYmxo6
PRsF/7Z/MyNRYnf36MexKOlvdiVjWZ1Lbyam4s3Q1LyZm1iSFBjNF9q9tD5knsp+xRCZfJ1XX9TC
zzw7ssnHiCQP+yp9s1DhvsROxWKeMIpxdVk1q98KJUV5nlYPVtak4nqa8WUZq0Mr1mPq3Gb1bbHp
KUCeJvkUOquva1kdXtrq9SL5G/wCSBNsPqsXzO+5zEAxUT9hLdJPtUsBV6/+MXN1kpkBV54Hl3Ga
VVDdiNVxxrOmutVXF1q++tHSN2sa6SL1CYsJg4bVuVbMqbczURRQi/nVNedaom9h18/ppoeem4c1
0kNcueJqxBY3OIm4N8BF4uPsY2xzJmJv3PWrm67uR+uRdsfc5Twv90hnc2x3Ko6vEYfAy7X0gsMa
e5HjTMMdYRh+vnXf/P8rCYDJeL21K+POm25WEH00zHa3Z/FxY1OXNutuwFq1KOMnY+UMIOJdPkxD
7oQBIAJt8EXovLEJUigF1sorQEkTgw/J61tHF/Y1yMknGEoUHyvpAEOY3NUr/UCOcBBczakOM2gE
vTFEWJBQc0f1oH8YV4JCjKz9mLiEdueWv63sGdDZyAQmfuMvBCuKIQ9iZx1eFa8Mm74acaDtmFdD
cEgFMAduciY1K+BhWFEPiJ5JJQNVTSycaUdu7dw23G2hASMCjGy6qfzOZV4xPCsMLxu14iRSk47J
WRET88CiJBnBThgj4JpyRVGwYk2O7YqncMqWxhfhw8lDBUxWCxiLnrFwWL6hLaaO++aNd7Gs6ItW
wiQewf9E+RsZo3VHZ4v3C9HTCs6YkswGouHalQSp4cflku0ot2YKccdQNuiNfH4DcczfsRxSg5h1
bwJzme8pi9jXbhz0m8ajQQJjvtWdPDu7DNFuUffG6dNiK2rUkTmYtauDBn1IiSaf3z9lF+jg5lMA
K0vflOCuprCPLZw44MM05xmCbZ0f52b1OpSNymfMpLqy632PbG+6n7LMnvFKZyP8kyTRID7R4E/5
p6IQvaop+9+agnRtEGRLYnM0vfUN3GZJ8qkysgQNQ2qwBiu0pgJP8dZtLFIZtB7GWx/iz9Ij4iiv
WcBB9BBFcpDCtz+NTT2Lr14RGIULQ0kFzCXLUTSnTNTg3TZ1zFaZf7hxccwZNGgM/3TIVw91Mbrs
mDqW3qEpejPmi0UA1H8n9f/OpN70CPD92ZP6Lm2+/fo/x6F8qRGTfH/6H7/93//+9oO/P6mNXwhK
wWhn8eQ1vycG/Pak9mCQwjLQ0UasVMgfmAWkqZiMzf1VZ/TbBP+357TNX4dsezXerZSD/2BEj57y
/Yge5YWl2xavgddlvVd+dbBk+ioIGlIrCYPMZdrck8UuMiTXAZM903meq2m6JhsNwe3YPpeJox31
2buYzVhyKqu0iNrBruASVPVNOeqPAHgS/FJll3OSASpVo0amObJbQDeat0PEMzO98i4tjtKNuRg3
+TL3L4FVXROecW1pM+6PNo4EwjNMB2t3NrFCw0v7Oupjdqm4jmHntdCY6qbb6BpZ4QwOIETpinZK
v3GNwaJ5ml/WjRnBGj1FMJEovchehzLn+czUdouw+eJZy35GQ4QNqn4NivqakcodQwimBNm4wy5y
TTbpDePns56sw55cw3KQvVBFNFHTqa+OwGs7GV8bz33u5LBrSqSFfZVaTxjcaZt9BJc6Wq6GhQRW
e/9iCOu5mMoXDynpTqdf0fvier0Cgqcgo43yFVsVZh9iandWKZvIqiCRj4mX4u+YHhJrvvNrxgQ+
UQ/Hvgy+UgEEeyO1D9gszgWc66Mq0b5p88CF0XXG7dnJXM0VS7E8uKm8m1v7ObWKE7PFl77L8SA7
F2hgCBRce9javCHmM3Q68sZmVb2Tlth1QYss2145ASN0epFWrHDQmJkNF8pMafNBfokNZUC6zYpA
hPDOGpSenMeJtl7LtHoZDQheOqOnjeBEhOU4YNniD2idupkH/UaYJGul6mz4WKS0ST+3XqOFU5G+
WiV/zDGy66JYzlSNzsFvEKLkGe+wseUjAXiM7oRbguO3tIg+EtJExoQkxRR/1Ts5HZp67O0u3mC3
eaCTjRZZz2Gd9qDHm+ylnnCh0P+TY6bOk5msk+U+IzjGe84W/YvfWR8CMPWhOxuMVMSBMUh/6Jbp
QXXOAR+k4Ea1DknFZwQzgQG4gPA9juqMx4v2neSxkCG1BSCSO2FRQqDDqSwsYfpjnRhfA2vG/7D0
NeSZ8mR400PXjw/2Ur5W6DZCMmrJpK6WBys2UiD3ot2hbcA75mppaIDuDN+uu1G7F+RSz01X5zvE
i3AlbG8n1p/jfeIM9LgVLfcZc4I84JDENGUAnzC19jMJe0FIpoGMei2ebi28kFG5JHFIZ+6EMhDT
AXXGdOoaZ2KN5/rHZdJgf8NE3dIgM4tgV78DGTqdUCoNoamV1lc65c9y6t0rw0dCyl3TZJ0dMc9o
8ygAAxF5hZpfYq+BiZ60ZgkQze7qx6KOH6sFDFSkADusWCdETml8sevic28BhQAauF1SHnfMaqJW
SPp4e2EU1LMkJV2R4f7JbwQcEI+Fjpbe1A1hpygaHhuNLAKsKM52Gp0XMKf917qGMlsjy9mW7Nh8
D3xIqwJ3V2XVyMqqiW/YFQFrr7n9VW5+bYgiQcJbIbKZEHQtJpM0D+0Dr2KFMXIbdjF9yIIPCAiW
xxza5KaThffsae5lNLv5GE/9qzb3Z9stTj88dP5Chf1Ov2avTCN6QFo2ujfHe79ozchDgo5ZNAcb
udkGfbxYxTOXzOmQaRjuP8iF/7TW5bcFPNAswlpA3LwnVAE9G2tXevAa+KpHIPRPZmnhZbE40H/+
vt7ruHlfdKgQ5JAlIx18e3r9oAKePW+xckANB1MUL8Gay7Aex7kxy9CCBtsc+X/696nE30rq6X//
IN5++53Ae9iNM6vnn/z7H35nYtVB6pOIR13mpFtnmB5AI5ahxih01pxyjQw44QI+9wOn28/f7p/E
xW+/O1jp1DTijIPW6/HD70bmOqtc+vVhqHoryuHs3MgYogvHxRm1RnHQg+XrPCzTrpin6ZSzN6MX
hgXUp/Jris4qqdV5TNBCK8s5BLjSQ+Iit6Y/n2dIEWxaad4KJGUsMq8ZCGIynO6WKnnUnRTh7GJf
RlR84dI0wd5xmvZTAlY6hIElo5+/07+4hSxoSyb6aUN3zPeCS7PMAnifdn1IzWFnN/qNHqgbCEHd
P1xRUAR//jRtg8QdoEyIPN+DzYPZQOLor/dqgOWfVupGGjiodIYTFNMBo3S/uBaJUd2Wk7zxhF7d
pquh3lbJazdxLq+lCjCPAm/zck40EtCDeXzQAvdi9dM+9TnuHUiUKAiJR+4WE/2NY8p9lZjtypIl
u1nvh7u6WB6Xnsf+aGb2SWR+tZ1dgfm4zl7jzHE3dVHyKS5+s1+0/DVu1KMP5U8JOo2ltQ54Bg7Y
HTO2M+oNDXAuPATT5qhuPNmxejD5uyH5fu5Zc4eeQY318w/sL04YlPhrQhKMeBON7B/vTOVpTWfj
RT6oGcsn5cTCyUaYHGyo2Tr8/Hetc6E/zI341js6zylAcR5W7vXf//AtYJjMRNWWNSay6Y7V5akC
U/QPv+IvThaMsqZtr//LFO3d74CQW4hS1+tDE0wt+KcFcUKsvq4nfaYsuRc9nCbTPgSaeZnjIN1C
YjlpS/zEkPuL76K9MKupB2mZWwdSLHnIBpxOrayuGfi8KncmWjtG6VlaLrs5x8LACWvgqszc7eS3
H30GLBt38JOjLTPSOPAXszoEjsh4qd2ZvZlurKAz90T3iY1uZq9OzS3YZcX1tBRkOCErhJhEgco+
ZnHIdqrpxUNkXndNbaZb21LfKSx/eyraf/GN5bNA4K9zDtu2Y/7xQ0G2Q+CKrOqDUdIoTGmVhRmJ
vyw/Ct5zyhXIKLeiUvqXyoG0GQ+9jjC0+oCM8dFHQMqQvUb0GqsZbZrRMCLTn+e8tSJfZ9FWTO5l
XcmGY+xcUiaDkdNzErXYK9hIyUfdnL+qQd9kXnaPp4KqquMN99qyL1L9UVKIsRhP271VznviYO4S
xx03ec/9iaV69eROJDxpqCiquAz2pqMeg7afrn9+V/3Fl4Rnxvof5qd0b++u0Zx0sF/nqT7MeOEo
cTCEzLwcmwlf/P/snVl31Ei2hX+RWJoj9JqzMz3bGMyLlsGgeZ716+8XMtzGhoJb97m716qursJW
KhWK4Zy9v10Gf3kiRJP9+p5IVmGmNXghNM/fvJOVbU2Ugbr8UIPJ2hpuU2ykHx99VipawtF6LhiS
88QBiezflsYBO8AgxXnHBrArUDUVOaFcUdZXaKMJKIygqaNnkZ+bxDjXkFukXoYNyFMs8rywNlbZ
fMni+XZMKboKtRgzzAIrefIHtUsFqxXP+kXVEUo0Fuaa7eoWEJLctTzS5XiJwtmivcofpLl1RIbJ
T5RDvyv9rl2lcxuejbAflkOQn4/FZgBbd8xxnkctB0lJ5Xc9Vxz1nHm4r9sA36btoQnr783EuAYj
AA+U3ZqB8hbfy7RRf6Nl/BOyDhiQZdfvDLtutuo1akaH/Mbh3kVyCW820XifaI+nFbslWFgXBBjI
jSj50zV1oyp2eMVavzr3nPELLbzNgLcRyXJ0EVmcWbyRrTgOro9x2EOZsF0gYs4B/MyRQKjjnFXK
TMAL3LbpkUPxPvNZWaJACaB4O9yhvUgN51NIUPExMZzLvgEZbdbTWh2MRoXWHggyOqG0u4Rq9dGE
GvWX9dj9zevNXgd+ImBORpTSJ/4856YgnSu84tmhEdMX9Dy3jc6613PM8h1ea7X/Wo7aheKgtR47
veWdz8N2Nw3NsCJ//UtOQWuTtHm89RAZyL62BNTjAOiBKfOtN3bTITVoK/dRgtYqsKMtCULBF3gz
3gX+4HAzB6yL7QwFOme9WM+CToHGHENP/6G32G7ptVWuXT3q1mNAPncq2VkHHAwJig6tggcSsM0W
cXffgjNZ1SZ2VmQLa8hvF33X3doOlNcidcdtVJM8Vw3zCdw2PBqwWJmB/MMppi9uM5e7Gies4HRw
SCL3smcR4ZDZ3VtEMajdfCt+rK//9Rb9xVuEO9Jg3vrnXtid6k39lnL1/Ud/1NjkO1RBKFcJyjHo
kzHAfzTDrHe4e9hQsIEBfqX+zQ/GlfPOxMLnSPBTrm06glH/oxdG+Y21zuGVIEYFce2/6oUBE30z
V0O30h3dZkvP54C6+2au7qBJ5nUcFQRcCmPYeiQfUoXIaWSHBHzv3JyJfE3IurzxIgtVk4k0+JLq
eLHp01DKTQ19m4EaWR/cJpyuoRjmd6hi/E+ebUA1ny2iGASMjENZK38ogZDOKVLHM1Ch+AaGETvJ
piWmFgeiRbboOft8wIhUxXmNbMcikLxKq23lRcGMIHZil0dhGQ/L3Mf5tyZD/LcS3mTvEq2xr0Ij
JsIm9G2lNOq1rV5p1hF/QJ6teAQ5WkUrNMOzfmwA8RWTe2ES8lcynWEz6DLLotMkrTNmTT3fjmnV
P+pIzj0QkX77lasYaHLtnAQyv8sp5skSUQC/OJ1eEEajz9FlnbB/RnpHu+wQ6Wxct3ANsm8RD/wA
hZ5AlBypG+D0yH+eXYcZOIGs8KGcMdivyQZuPtil03zIBz259RKdjBXCWq6Gzs/vy0YWV21T99Np
rMbA2diILHEkhXRGaK6lho+no6LBMIelvBkTPlfF4sE8Zfg+Ig4L/QkH1VHczNFcfjICKa/9lJ0M
yrVaNza+B7oIh9BQ7IREqOjM4mwss/IqMSrv2iG1NjyPbc85NHx/u76oPISkUbWfw1ARAjwS3BfY
feTkxR14DnmjcY7glIL8z5ukQ1YqaxJrDEScIgEqNPF0tBS80NiJ4iqpK9yYM70ZpGixcbQb+lIY
5jubtdl0mgMB0C33bFg7K4+qz2QXV481WLMP9HIxwniUvty1A8T22dAyuYVSh6yCxoZ3M2LnWU2s
ynesUcHNCJQtYOKvqTE5JAJSwGtwZmJogAERasOThPVBWoHhnZelJYJdN+m4X8Y4jw6+qNr5DOAp
h6nI77RzE54BkgrkTjBvgA2Al6BB2p6FDl2jVTCg50RE5yTnoTUCQJGaYa0MKkPvczrBF+GL1R8X
F75/+QIBcBciQEBeIaJv7TssYCEHTAtFoFJAAW1hCxAcCGcgMZT8B6W7AhBIIeUuqBcwAaEOWnts
F2JButALULnDLXD4T73KFeBA+IF2Nw01JbLEvxBZ1p8iBUQIISP4HoiEdKElxC/oBPMFpBBkusg3
QgEWHEuPYGjBYNAVfsFXIAZdIRlaS0/PqjkYHqLWjDaaFxYXAKeqbcMaFiusQ5Sqc5qITUOuEsbQ
A73TwD3wemv3uQJDFHUNIwLJZlaudYWOQFuNfjIBJ8EerYEskfMZDhPq/I44S7PbTO04njRSXc6K
jprq5OW3xSzP27jxz5AuN2tPFuNxiOJuK0i6prSMTawqKLhrtvbszMw0qV+vK3/ej9KI91Nkgr8v
W3EJn+oOLhppqMGwl23sPBi1guJ2WBhnJJBXJBfcGpZl0hLgKKw17BsCu1LcMB+UP67sHQwCtEhO
ftLzsvkaT+ISOZH/WNXJcBhJfrjL0aVexT0KaRL/Zjr9TX9tdL61q5TreojCaW+782VUyWmf2vS3
w7BJd5ORoD3V+CmDegBKrrooYY3Mj4WPRghx9dVc1hftkPjr0gypVkLW21c+jtHY1fSLuvaHK7dJ
kcg1xWeP2XaP3U5uI3/ydzi66Zf7ToOCjRjiuWAzg+JZO8ZgAU9TijK4E8GnIjKbTWBw8kkERBnT
QxKatkX9gTDT4aBnQfueek/LwBi0fVCP37raTfcT2JptWwOj6A3T/2QlDorVUcEQ3djOENpyyjjr
XE4LByuznVMOuW9H8Ad91TKAVFVC6j9KjA3rUdPETVeG3j6aWZrijHSW1rEzRoU7C0RYVc7ZMCGX
ZSurqL3FrOo/eBVRLZaT+VvW3pDgW1l9zjEncDYhpv5jCZBlZ3Qcpv3IlLusab19MfflY0lW/Aev
DrRtizR7XQz5fJljbjsh6YIZT+DLjcW/uGjcUbviKP0gMJvra8ODhBQ0s3tJM9QYV93YJsbRGePg
3Esy6VEjcyrQT1En1onJrpEckmje2EM2rZwWmlJvGihWEfEhJwlRNGsYG/cCh+BelCI5anWQQkoJ
cNRqnfbQlnrzgRGXV5uoG8qTbtW3rh8XNxT79UsrTvKNJOvV7VKGgQ3HeTQbtPE0bUzYNSRA2BrO
OhF/teiifQXYQx0OaheostYfHNZBF9AeZRJrHU+Vs1E2sfdF2PW3iJvl8yi7YFt6FSF9vvlJ83AO
RHnwEVUQ4Z5Trq8b23mf244GHqgBTmshE+/hOvMqVf77oLb3FFg/+W73RZqVs58LuwUqCHQaD+jH
qZ+8TZsW5kaI+qnKSFDtLf0MfHWCNMAsvwa+6DEDaMRIgGY59MQ+FGtznmwaFL5xTRZavU2aIbnJ
DfcyD9r8nBJft81ak7wnE19wux7CesBWgIIZRXDrb8usee7i8J42BFsp9hdUY4D3Wj2QG5B2G7qL
ZJF7anJFa6c2M5Vct5zqViOr3DbM/ejJTJJ7zXTpnw2V/ik0BcCASIqvtVHfdr3xjWDjlawjOD+a
eMxBim0qhxSYMdHF0Zv8mejkzkaTQz5wwFmAXvxxyDFy0L8otz1ZyBsZ9NYhHqfszOrLM9DEWOdc
432EM+Y8Zcyv8sg1dkbdUGqI23BNFvO+7tPyWLTjnT2Hzc6Yw5zOpgp3judn2Fj2urW64o6yPRki
zcx37Wdo/9Mp75E+Ajee8ibbjR0RLrUmv/iB+REwl/+oV451hXcbASqCz8poGVfOl8zMDIzcHY22
MCpPZU5PrqvMryIboGQbz1Q9qxD3TFqiU2+GgyzBOTd2aSMBxBTbSzfcs2MRt0SpYAxIh3iHSWC8
MnPhX9d+cax56EVaQ7HTL8OpsdfQJRiidPBw/I7mpjZi49Iq4/djUrp0VcNuXw4RGmJh5sVtFyrn
CUdB0aODdMmks1nSzzGXuCCN54c2jvZqs1kZ+RUKyQDXlccpr/iGL/hAA43wL02/8ofmak4Rf4Qt
BtxGkNOafaIvmq/mZrwfmu66NNqrVssv2K2BBFGq+rQFzDVNHWEu5DKvyR3HhCvTsN84OF5pVQnb
Oc9jKc/drMphoNQrlK8EY1Pmmq+R8yf/xRv/n0SQFEEUhuGfD37v26fwZ0nF9x/4ftwzdO8dByrU
C/qP89mP8x6iiXe6S78I8/TClIBZ8sP7yKnOMNA3KqHFj5OeeEcvXLc4CNI6k/9SUbEUjn8qXhOl
QsuKopw6buKgfBurUjDSwmKS04UHznRO1nIop2mXuQOE38y2zpJxVBzKADxg49hsoaeJqSeisjBV
eX2oK0zSjHTKYMCwtgsUOJwm5zpDYq9bqwIplY8J3xr0rifRIHNtf7jVxAQibd15PWKT9yFx0dgF
ugxUgRsMfcWeMfW1Ky+z4RsUdcy8tEZ7UshvVilAsRwGjs9jfxYIhGH+mS/oQdCxllV/h+tPt++0
vBAmPfsQPHgQDzWtegFTAzQCb5POZWEulrqLidIMVGVnnqi8ZDaQ3yGNLv0sC/eVMGfY9AiY7vMM
ZPqMif3ATdFuRiHyGetSdC9ju4bjlYXxzVhgcx/r6mzmld+Fhd89eYYe4QME6bmKlMrZ1cGSe0XP
zosC3MzEcoxZUxyBaSUZRpPuOyy/kynmLDfWKK7GyzBIeu1sHApF80y0YLrTMFPN+gY6cMzGkSOh
KfY4Rpiuel8v2upA0JJvwH3Pkh4fwa2b6lF9UcJcwDu6ymhtZf3ZMsz/Wwr6WymIDh0l7n+eET48
cfRlm/AaNUNTT/3Yj3kB1AzVd8d1HdVFQufwv3Uguj3vxEKfeZUNwzyi0wdSEbkufQ2L3/V9ZrAJ
lLEdSvnIrIQN38j4N1qr1xVWW4KMojmgzNgwHUyEXa8rrDBZKkShnXuTkcoyr3POUjdQz1WgxVA1
n376Yn4jCFC/7D+z0HIxmhCqY+5hATffdmsCZ1Ty5da+CbWpfFxY3VPbew/U5GvEPqZOa5do5iev
j+vD/+PSFLiYm12a6Io2/3MlOdISY2wLw76ZFcM55xgBdW0aQNWKzgV2K0ewWY1ew7JFGMUZ48+X
f92DUXcuoOHRpfQkZEEqga8vb1oRERkIQ2/STKVmS61/AegCBo4KdbkxY3H/8zXN152Y7xdlqMAa
o6EtrDeNn7zM/S4oPfOGoEHzHuuNdYZVG/weQCRCXVvg83ZkcfHO6OAIhW3XPru4TPap5vI9VK46
ZSHlHg8Nxwt/O88EErrSbKq17/S6ceoXOHk0q/MpZDMIGGOaQ6n+8328hnm93IZrqZInjXm1hr3+
7iRIum4UoXljdBpjpaNjPqYd7jDZgNtAilWcRpUE+uervhZcfL8qrUUX3yMX9t48Mc7GIh6d2riJ
jR7c2ULsE3n4TY/H6maJ5HZsWOT4PyGgLdTtP1//1xdTWIa0pAAjxbh5+670npcDbhrxWy/JwOqF
mbxuvA56kM5/vtSblt1yr7gueLOkzgV/kSP4k2hzXe+MGyxM461WhqCkX3IHfIuYAqhL9lOvu+rt
1ImzfIEzg4VlO5CE2l8e9+9uHO0nsyWrNV6sN6PWtLXCqzDe3XRtxUtigyYvzs020/sV/bO/kfN+
95IIpj3eS/4rfmnrGyXUZc3qzZsFTZ1PITQ4W4WsdQqyntWxzWkKaDuBA4zyBfqc9R7BV5NifUI6
nYuTpjDuQeVQVkx0k4JTAqDaaNk9hSFBO5t8gfU7yCSHo4dAOt395QH+ZnpR+WI20B6HU9Xbnmuc
Bn4nJ8+48f0YLOgs4Ikv42Zss/KxrlHcAPNh3pv4AjOJuDCIOKOsm8mrDsgD8M5FILvS/TzMYP0M
X2+epQrE/vPn/N3H5MyIZQWtGVrhN2+yRgJj7/q2cUNtmWln+ZrxvZWPhsKvkzD6t5GtuiivVhyX
XonSoYEWYVtuvL1i1hK4pCdTczOUoK0dQhCeQHipv1hYJDuVS1BbLqR0gg4Ar6Oq5wA8UDS+i7qE
5oKVT+2zVfSMdIVr1zVegsiymTjVmFi+IqhDLF4QJkiJhdxwmkgvOYcOaZ+ZghtS1cG/9Ni5g7e3
xZ3wnHEx2biYfvEwzTLxBITD4AZo07T2SnyOm1ho8VWFQrc95D08R9hOfQznwoE/tY56SI07D8xX
vEJgYunraYRzYMZmv9WzVuzgggKjCt2mM9CSBZO10nzHnze6NXtkQ4SD9r7UqORtdFEU9WpY+Fa2
J8Jmo5s6b0as4FcsAYqDFZNpacsyv+kUIUs2WXxuZrK47GPq5xtZ1EgPEFhqHw2Mk1cGuOUvOvX2
Tco+APkuiNiSz9eHzxOtT/fYTmG+iVrW7yP4cSRSlRWX19UC7xoXkJetmF6OAPG+wnevlQ9dnpLL
bflC3HloMnQ6wWDz6L32FZAiJ4CT5QGgr9dua8rP9HpJJIDO0CaHmQqZuSJOySbuDOKvduZLwz43
gw53Rtn7OKE9j5J5b3RrYfdBfYPUCD5Z7LS5gyfMBNdMOGdZXgviqOr16Nmhv5ExJy3oFiy7CWOE
hCNlV1WBCxW93gBnOwQKYbT02Jacksaz2SZgCIdEa6sAmL50iS1eUhQm0ahoDJXAgCIwtVcjlhNx
TrZz0rEyG6EBTW1+YasBIwe05lqg20GggV8LXlhsZTRiCw6iEKe4134hGcEtVgE2rL0exTUO/iyg
UGnXuxrFK6fH8nEg9+EjTEy0272EuMU+4DNAuAKeeNXsBcHPO45SxafMa5yPhaU5FDDL8JmBMn4N
SK2ighcG+UbveDzr0G9xtwSlQ4Nb9GsGVkYGC5jecQT9rGlYnIv22a50dz1y0irvAd9FyanPZUPR
N8+RgNyLHrwY2XWwqguxyQTxdkgZAGJJFw2I48GPVvK4wUQkgTdXQ6pMy2mi4Qgzyis/amHvWnzc
JM7rzVRNmdxputr8zPiFiiThAcFKKJDZ06hlttfspwokFui8lMPzisS09D0R5zyxySfPI5smOMs9
iTSwzQrmimhiVMKrM1hM7bzid+C2KB+9uuHJusbMQ41iJEO6XsvN4EFHX+VB4zyRqsGUHdnBTYfv
v13Pk2s/+Q6ZgEGks18ltp7ZKBtQDPuz97DQZhsSxSnmAkjTbOYhAV95m9Uon1cVb6jEzWjx66nU
8uE4cRQntnX+Q0fDYZNMWXFK8sS8r5Bb8odUaEfbkhO5YjrzkaHYXhZsiAfgnwTU1xuUEmx80Mby
D2ZBxXwnARo91cQZpKs2BS2L8NOILztayB5YPz4VJXDv3BPFeIuZVFHeNGbUZY5kDyfPfYdFVMQQ
U/1CNqAc1FfpAf25b5qOv10+bdZ1SH4stNXXBbARk85QNF1XYuBvE4DG9dWSmRAEPUkUM0+kt9kZ
Top23eNc2ppmPN0uERVWGqu4H5PluR3Jw15y5CeT797IJm6KV5IrJWHfPEcFgwH5TPPc1xO5MAEw
2DM96Z0nqYIiKLo0z6VKxgY/UT3GCV3k9Rg10+2yUZiTikCaJVHWHNnfL5kvdcWHGU0ZP9tWKvgu
VI58UWn6pR7ySruFrxNglibFOcOIZ2eqT4uphIWnUaFIdJFv9VhnE17Qg8WGkJAj0ymHxZTQ0N76
JO89IReh394XCOfPqqbmk/f8DHE51BjG80qrAdUuG5xObVUS+BTPL4efJV8WDznEWuR/NvYYLalg
S2Klsy8GHHs4RB37KRSw7PYsO3zA0hzJp5BaPsQUyg3/Mz18Lp4vr5DhO6Ts9NRM2Aax8gAyHG6k
PTTPqUeuEycIyeaO/+sFBgswTQHmtkIdVegbR3tjMtgYUNU6c3nSl/TdxRm3U5ysXnNvgY8A2tDC
lE/bd1F9gHdsXLZqeAIXMC71IGZlSrCI1Nu4Z7tqyxg3ejkEWnjIyCdil+ZCwVth85DWlrIeH8YH
ELlq7YTvbEE7j30k7uNEVum2VSk/L3E8aUggS5hRy1nRJOf+l0kAuSxeQ8hDpHgkESDJybHOKkTF
p9JVl88GQO20edmOtUb5SOxgcYKxRLA6qxTsL4unSjMNJCMLOd/DwBbUy8lgwvc4Xo9T4D7VEoFu
glI425rRTJ5U4PDG13XDJ1lGIo1qozkt4T2OwR59CwmEyccOqqC59kYfsKIs1AOKKywMO5OcvwOB
DBDM2nmE0MdxtKFT0rIpMqUSWJhDkN1Neuw8WXFs3Jua5AzgxRxDbLqk94Ol0pktU+kjmOchTU2R
Vz66QcmLXhnDeL3cISsRe+RGkSnqAu3YcuCdB618nA2LVzTgiBoxdZOtypH2vgMCcl/gLrC2rdql
zRiLyYBWG/Nl2ZxmnRFVpri4LBly77NTItAypUZT1sw2dddxklHfWl32o4ez00hn6v98nNDlLoBn
2E9l1/K+5iFR2mmS81rNk+VvBFmku65J6Us7TcB0FJG4vcZBwewYNjWIlZAhj01DhUaFke9a2wGw
6GGKHCKnHGRdzu1YD3m9zgeVIa/VuvMEFoaZhT/tPSwE6jTtyB+is1tsPU8O6THrXX467UKzukOi
PjBEVOLaGi8RET7xMveNZqztCXphkmcrQvLudrZbzisQN4vT8gW8zEXq4N7HJvOCmljrgIBVEBeM
XT8YWdbGFgzGKKLpMzoB/2YZnzZkqz19eSqMeWUnF6KTDBGp4yuyHfgvYTDV8vuAyIZMfitFn/Tr
rO5ros3hYKZT6TwFLrWUZVS4Y6JCa+h1kpVGp9KocjKvHFVtgOGC/9nNcwOfipMzE+HB0taiMilC
oNYFmR2pG9KGjNGHfhf/mo1EYT+xEao3zPfGJQ7c+sCQM+6dkBYxKSYBb5Yg0uLWFOiqdqRljdck
iXsPlhUZV/jDwZaGM4Nax2HfrduBSXuZAe2kTbIN3XK+bDh5avkmJxOMnxh4bdQClK+AZE7AV/uW
SaEIQMTtKk2StpB36tPGHdK7rVVNXDcoJ3KoJrsG6cFR7cEbJzZ+TsB9k5ILimkgO0nbUFIGDFCz
F4JmashoPLRdn4dXRoON9gyuvXFZA/sB5ClbrhBEBaNdNwjNuG+djk1IoCXegz6U0T4vR3W/0HVw
lpvirpNjdgVQ+kuo+dqakKQGTFmlw5jh3SHyLv4WWE1Bx4uGoOVypCba1uIFHlkeY9DHJGBFw7xu
KXl67FAm9yGJCZtyopIHWjjDPO61LrZ2ei7p/wcVTcCwH7OzqCzjC8tuDGPNqpmdcbIfD7lBJNsa
E3d+4RdW8c0bU/YLrkr8o2PBCIPbBZp5HJtWP+LtgscT+7gJ1l4YsqfqbJxmZpqnZ1phKui84NGh
0Ri0uyA2eTx1VvJXWFN8SZYzj9dUADFyWrTiLayR6arq2eNkaktXhSSEJQEt1SXFDrEM74w6KCcp
s+xgebyqXlgRAafXfDxwjRSbzIL9Ab0MPum4LCZ+yLxN9b9IvhbsMVldvJLAKLWGGxpRbz5a54A+
rprsyJMrMeXEKq+gZU4r3FH4J+pp9WHJR4tUKNlQesQbjo73YBAL9EyfmjBUC30UZzCea+6arJ9o
9BitWcBsNbuReb/kRSzzphcnTI5kPlhQa+jUmKnab5Y+GZHkmZAnATCYOXq0y8dEpUcWLfNeXfEK
tSo0LvI1tAOFs3MDNTPPc8EKxNkuPJhOGH21e1dvTk5JIAb7P/rJToLsS3vZYVTUSDRW5izJpX0m
xKyLMw5sY6vUurDguq7eF23T7VLbNCVnFcj/ejIb91IalOwcFdNHnYevRMQay4bvkyW2z1wWFref
3PuQivVmrlSOgjPyPswqdetlywyV6JsbmOAkPMI0d0GSCbl1p9bcceXwPqy78T2WvPk8xMjwvuyC
BDiVwDrscNqZSUw2O4F0L9NxzNuldl0vGGO20yCNrdoaDyaG4i9daTnP0N/mrym7ym80uRq22wNk
PPZV5snA/3RuKD5yqkjJyECBJncLQLnC8oiYqBiro2ONkM4EeLkgdqMPUNKCO5c9PgzAjJSdRGGZ
UcdNl9AB/PchPIwvRTXxm5yF4BwtNOd5ITuTFokAEjcQ2euk9rqPS3Xmvx2ev3V4CM3AaPOHDk/U
fCnyJnqVJWC9/NT3Bo903y1lYkS5GANfeek98x0DmsgAz7bkovX9T+OXJi/xNDZgG2mbQlh8jB9d
HvMdE6CgnoEEWLUN/pXS923hjQhCaqk0lJSgWBn+X5fQaUyEScdK+bLZrDPEuY7BbDFPE7NeW3P0
+ekL+k2n53cXFLB30PlSd3MNbuzndkvCXZdmmTknyzHlxlDxeghWkL+msjoEINf+UsJ+W+dTN0ji
At8X7RWoQ28qi15M6C5mVPskitB9itXRYtmsNk7/t2yht7U3LsWjpiVAQ4IECCTYr26tDmGEdIlh
nxJ1Bo8ErSqnnZmaIMgzq86cyUWCzKRWB7U/f6u/uUtGEi1E9AW00d4aaocKZJau1fapMSlL57Lk
6At/lQWO7XP2lzr8L10BbpQRCK0JrTnlnEVT8JPhbSxSAMljZJ+GgmYeR0B2JKsh1tkM961gtcgp
w4XHjMVbrqeaQzJzYMGxZUwjyhoqdPXf3j4QaImSXtGlhP02Vio2CKql0m2f5ABNFlAO6Z467bT9
//NaaDJovDKEGThvBlQA8zhF4WBDlR+oJ9ha8yywrt92alv959tSA+bnrqjn4Q2gKO44hFAj7n/T
8MA+r5afzj71fvitMXHkc4D5t12V5SI0eJf/ZZZ6M2opbNuiNVP7NKsE2lj2HGak8hYZ7L3/1u1U
XolfbklFf5nITfgK3/pbpW8Z/YzU+RSbuGo2SwPF8DV232ndkJlbJZyI3ImXVDWcprC1zrAdWS+S
hX90B/5mBLtARKg/q1dVbTJev6o+XjjfdxP7NMrWPFrERZAjqrZGpdYwQjn4ZNskMdmrTzOmxc3y
8jqqA8oM8rcO9K8vL5/BBmniqSdND/z1h0lSzyULvOTlJYXxdtmnDjm9AU4y3vbPI+p3l3JxitNB
Y2n5pc8+lpIjtqisU+Tw9Xqesg5rqVL4SOx4f+lGvJ7qmb4VJ0YXoFpMLvfL8C3DtkBcXmpHnxoB
DAetps9kEW48qyDvPp+YHf58e8brKVhdklQ3wndcwDU84LfddAKjbJOGt3fUfSoJtszZ6Dd1gw6G
SIfbqEHag7SX0wCkT6oKAa9URvfgJLSc7TwJImiZ1WZ5mUFeSj3TTDUFM4VGPEGkyjJ//sjOssT+
5y1H8eGihlVNbCQdAPPf4gnQ+cT2CLn02KR6ttPncN4VkavtAqNJulWhZxM9RQ4LdeGvi7ic3K3B
L7upKa5kW8JDOHn6uEQjWu9B+zxbWfs8mglD9+VUa9LDCDfsDKnCOEuyOYxMKtbq0ANKgrz1mB+r
VSVNTPzcplGZ7oOKmW9V10oGNl6ZmC8QOkQ8XQdRSi3Rpdj1gPVNg3nn+ZVxMBqHQ2lDivywybzQ
TciOjnxrFXSRRWxHXnENVaBa7EBVBe9vZfc2rjcKScZlExaMkNLmCEXNvgV2x5bbPS69uaYNiLad
aoOkLrCs7TNdpOoRoo5ZHmFYTbcG6PJrzWw1aj0gCaJPxuTxyMRsuZBKB+pDD1VKoyJvE/cpwdlE
HxcY+9NkeOTTG6VaoXsKtxll0i8lGeWHvhLVbe0CWHMGjr0iCsinZf7tiVEijSZbL9VHDSL+iZoG
PT+fMoU1Eg+95KJPtklFRVWAl9bxckJtl9Azb/DFbdME84PZI0x4Sb1fxHbGWDfPCTZ8EzAFWc1z
40PBk1PtPXSlSl/T/AkLkp/zLWfq2D23fG82SGLyltWKmrNS78rGxZc/ZWEdHwJ7JDd2EkIdVEPX
pjMB/F0cQ7UxWXr0S/Fdj01Ov3TTxi3wQsqGS4G0iipGDTQx50m4KrYayH0J97eQU45v2xfucTlK
atS3mn1j97SIyUXlw1iOSDJMNqyLbhHy/hV6QDJaRsbnZajR+NpMjkqlpKBP5UJMNutNm3A4Whk5
jl3C4NByNERrN9gp4AxB9B4RxkrWorYViDumlHV5RU+N831pBfPFLKBrrwmHdp4wHzlPrvIcgeqv
ofY5k1ET2Tabh3keArExA9f+lPd9fi/naLrAy5VuqmYsjBU1AUPCXNXrY5QWiAtT1Upo0hE3Wj4X
3UZvfPcekkYEG8ilL7YicmS6lDp07MwOoa1kieetI6eh0E/bYz3l83SfYGDdkpdUlsdEnyJ2RmBw
yfFt8htKRhKEld9lFAzq9pu05+IMPV93CXEDA8E0xqgVu4SZaT2rqi541povAcHHR5e80GbXOJP7
BSWhsWmIqD2n1VkHOyXkwDveldHGiIt83xddcelhcsG/Nzfhp0B14ETRQs+DIrunD+GfSB0S1V42
g/sIGwKLbF7On5BiFkfLzggNGAd7/pSnVbJ1HHNeN7C8a7zbDqaRZMg/xcQytBt6y80m0WuxV5tR
0MUjPc+NkhhsK/aAyoiT7TJpAl8KccLkEABvO0p+Z8hZyrO4RmU+Od301SejcBtqkXYzeUX2MUp6
km+mHMN8HuFZqxoSypP6SbR4uySFbjJ3s3CNIcPYZWXBL5Ia9WcalgSB+oQFJ7UFc8cV9J8gHirW
PzYFxD1BoZ58OZyz05UH6KOTs8kjfPe2DwkBl43n4yojDUQWZUNZvsHwS7AxoRZF975M3Kpc93mz
6xTBIg/1L6loio9E8ZqryDPGXaP51qZL+RxkxGY3rErwpGam93PXrgacKjpPVKBCOKf+kF+TmV7i
QGgZ1JrLjuxpaRtoZswr0ajWzrYoWzM+gUNig21aIzV0Ztv2Oah1JqRiJsp9AtRlrvQW4VwtOjQn
soN2vE2icKSgWlTs0mEWUxam9V88+gYNs6XiJaa0PrRkDlCL6Rwfhbppk1NSp+q3GWPZ7F90eCgl
lEgesa82co5qGtpaG5fEkPu+tHn1u9CpDvaIlfCwNJ/KkmG7BvZL3yShVvdoFlXAfi7skMdYhVnw
zocNIngA2bL8NpW9rVqL2CpS0TbbPLaHr2hSqmCN4d35QDAXceuh1xzIp8e4l49BRFSEEYefm759
iimrbh0btOEai1LVfEwJjNDusDSi3JVmKC97qmVrN42SbTgM1SHW3HkHvaZ8j5IhEytsjsN7wlSy
W1oU38x0/jiatnGVtCaFKzfFsmB62EHsrjSfgzYMnucoGu6CTvDkeOPjbUVdFjRpgLEV4kSUTKsq
bcQRDwyog3FIywxRP/M4VlXwzwfCs/STXRXTBcBY69bFXkROWpZ0BJfwFMgzop7woOU92dej0aYX
Y13bV3g006vKsLvbLJLVui4M8gN6Ld1CILc+QxvrTxj74FE7vhm5q0ZauK/I/V0N3Tx4q6xKmS6g
eOKGkvYRucJnv9SGu6ENEnR0HcYvGPafksGF0VqnIZEXhPnR+pys4NKjaHZRE/Jw1LwBrlnYB82T
GQ0lfAVkCjmGiZPh6pq/sluQQHuDKW+nsZklgsowTZ9YdsTauxAt4D1prSXIAWu+K6PQP9enbr5p
Q6LsvD4YHru0rYD1N40dHcdoHJ21LNDYrKQ/yOTSHSlw772waw6ccrXzWPwPe2eyHDeSdelX+a3X
jTKHY170BoGYyOA8idrASIrCPE8OPH1/YGZlSayslGX3thaZJjNRRAQGh997z/nOUj0gdJbeRiPF
GdiJ5oiMvqg7XU684b/rY9NdDHU97hUvwvMy7Yo8qL04pGuvU17ELG57QEN6wkh5hdpFozPeRHIE
p16mIXjNjiXvOVM91Js5t04qkSyjhoA4tmlISpwCWbRDSAJJJS96Z14sHwUVdjk3d0wWRH16ryRI
o50HRI5ZAP1d02zk1sjt5dANTnLbFXrzMOhz9+jmOJJGhRh/SSF+Z5Bv8ZvQ9saPmzpgLSaHGNZw
ib8h0OE91AtYY7hNkxysMA3qcaFOKXNa2BurCpMr9GHqQbSTdmElPWKKxGiMnasZreOjBLV2TedY
06aSidftB+7d7yS9qafaNfq3yQqdb5NNONdOMOjFpwj4AWholTv431z69pg7myRoY9RMB6evv1ux
iq67FFmBvyRdf2ZMihTIqsJvFqukmX2Tzjoe2rK90rDpbKWwwz7wIvbs0TIrhaKoAk5nDWbvwgjE
eKWZzvgFilqFrCZa0iv6wo4AUFLmV6WX5yBApNIQDhtctZwGkolMf8rV8KhikpRN/2O//t9e6C96
oYjUqUv/cys04GK2yVv/P9X3/9kQIVy8/hwF9tu//70p6iB6F8ioXHChBiBwSZ36T8AomV5Ui0jB
KYY+5Od/NEUNlxRVk6EnOmmaTo5NwflPU4xLl5X0EP7SZmIn+au/gRn9AN/8WJJ5Aq+OiRpb0qSw
jfWb/9iknJmU6EyIxSFT1aaIvueRdqVmrMKQDcqpPBDCccYWdeuFwxc9Y7BsdMEPJ+9P2qTep0oW
fb/g0DbOYL4z+LpPHYoKx0DtupE4VO0sLkPzy+zVyAizbVkw1YASLlggAw8WKDuV8KKGO7xHaV5u
J/lsjnKzxEFZa9GFWDSfiPld74F7cvTLZsWumdboo28NCBPHa1O/UX/yQ9RiuNS17Gvaye36x9lk
4Unmh26p9gnG/07bzpZ3YPSGRQfV3IkdRYk3U/TVivLuDCMQ2bCZjfJxxm3Sck8clO36IEx9Uxrn
0TA5zGmWG94ONJlWa7HLomSlrm/0RrftspOpDTd5XA5bVa5BFV5/Y3vPuqFtSZd5WTo+QZHqKPSQ
LdjOpoAEzsLIBjsPmDRuSI+4VVp4j7t4dXIWW+ayXykGxJ4Ineuoc2Dxla8LXB4GucjYp3xvL3yM
CdANis7yrVCmgH7tzv4sprfSjIKIVe+E5RCuqwC9anccbNklmXEVFWn0W//iv4vLLxYXgHdrq+Y/
ry6Hl+klSX601/3+T/5po7FMFgDWDDbvyMMxBPyxoLDf+Ic07dUOs0b7kW//x4Ii5T/Y1uNpsBAd
4+9zvT8WFJ21hhEL2coGAfP8zd/z0vz8NOPqo+UGAWPt7rByoav/eUFBGZovKbj8O3LeaySuS9HN
GJuxAa6lHTgJE7lonOTtG5ZteR8TNHML537elybl3iZPXGuTd8ougT3lU6DZ+qb3tHprKSSBnRD8
HluLZOSjS0yu01bVGT5wJEYV5ufdQAd0W+uEy0sNckjssV1JgATuKzlnt+QCLAdewEgSdW14X22A
rR+bk3mlrYgRVebYyeKun148NAwvjhHPSRDFnLZNHK1qwDZrlx2ZIow0Z61+hdmfvpCfPF9rGa1T
9Gzz8wywATVylDkbY17697GNdF/WSOYiKfQbWIQ3q4wQRWneyYfBYPPziwX1wx3wrzX94xIwmHO4
qpiMXHpCP1+CYjHNVAs7+25pDe9oGQDgEeusbbJKrRBS2fQsTrLwriunlqdykny12nYra5NkYoRm
ApXAcazq6C3DCKfUii8lMoRvepJpT2VjdbfxrKmtlaSA7qweVakLFP8xz3HiR3FboxwyqivXbR+Q
QgJ9WSvPaJL3MpZ7or++pY3dvP7wkPzZW+STQ4YXrHDWG5ixEC1m67OJq6YnFIWiLu/Mqgif9fXq
R1Wlf8F7RhHniPaIYKM9FhABt4TpFNIvNMbgnZEuF2oAKFzDEEl8z5rUVVRCVZ4qw7oLZ/4EwV2+
4/zUoUzK6SrGLHUyoob5oRs+0nuSey9JciC507ixUVIcEt6c+1hrNbbDJEnPMCS2IHC4p41ejOdi
Mb6V9nCaWqmjeQmtw0w6V081DoNNzdlWAWLbElkR76zkOa+99Mw0q+kN+6oBVMKY3mrQ+fQwqWXb
nmZniMUCZc6w6xOiaHkos0tnRGKcI7M9ZAab5yRtfTtsbdoW6WLBKwNDg1tVwWP7ADY7qbcXSys3
MqER5ZQIwbCtgt/tyyS9gJzdnGY3l09zX9bvbt4UsFOQI9k+3LLmsDZmdmXcdQeMZcl53vfiIlx1
Z26pjxfoJfhy0hho4jbxkh6Yk5HkvpiRvNWQtF91vc4JlbhJk8VdDpO1PptatuDHgwtkxl3z6kVZ
dDLN1tsIQnR/NTj9ec3Cg+HiB8ZWZayOQik94+cHBt5BGFIGabcx8UY3vTeURJB0+SNAdPhOzkBl
6K33Tlstb5N0aQvxVp+xvs/xt5QmwWVtS9J4e9E8OY1ZBwgjxb5xa1INzCxoCJF4KBp+SzYi5PLT
0Sj3Odf+VK0oC9FHC0FQkdqiQpa3CvQ4iAO6oZt50OYLlPPEBmH2342gH9cFFeRma9W9vrV6TW4T
MTT8TjWqyzarlpuP27ZOG/pziT1ftI2ln/S6CpFuuOKLqxXdk4c48gk3V3OZdAk6iqKOsa0ZIIVe
S5HtG5A5KGOVN4C6HAZ7b6JNc7aZG5O4LijifzGpkT9PytbTj43TddaxprSQDqyP9g9D1qkBPRct
bXgr29rWgh4rnz+3jXaXLh7fQE/JbrebTrtP5wQ/s4Vro6ZDUMZq75LwPfsGz+Dgy7wJz1yU4y8g
KwHTeM1UR5tab8Pn1kQSA60z14+kumu7v157/uwLsKlbHYaS97L8QN3+8AVK5omtHkcOU4al36I9
VZdNHUW7xkasR3uWdSZsUF2S8MMSU8aWtqWtWr+g/LHO9ckOv/PsGat+tHoxlKOfbKhgZ7GEj7lr
cje8RyON+iouI3Zwf/3ZP97H/3pZfJx82GekAEk41WsR8OnkF+0aIzdZt9VgWfh+6MB9524O3UOL
AvsRStdykapOXeXOWO57HAaJL8vSPrp1Mp7BQU42kyfbY25N7bFyGu2+twtv701mDwUU5OQVsXLJ
yZF8/4kQGPrZ3dR9H3lNcIkS87ULJ0LnlsWlxdowrxrMKSv3zkhNX6cWEQIS9nA/DOGTRFF/0FzN
PesSGgoEw9u7vDOiHTEp6rm1y2XfTmMIVYtYkaV0SvgjUqp3PaJDAxXWJOy9q6W+XYza2xlV9qoX
iMljo2x8gx7NkQDx8Ll0eNTZE6DOWx89cl+ib22IU2LLFJWPh+T1bFGtvM1lNw9EgBojrPeGFkVN
9Hsq4vCZO298N+GRsYKspyZ1wrMhISXHpEbB88Xs47ZOoLDOssjuRS0XqgZYN1+cIn0zqgK9ehSr
YzYBpGlbiTnEzOUpVlOHwSdXl6m+8C756xuBTSJX+qc7wTOoxai/WLPX7eCnbQNrdTEgympu41zv
nc0seMD8j7U5J6htT6Mx3jgIxpHwYmPZsRWrX2zZLzeLzpq0jYruSLyZA5Mkzc8akKUT4xmRoK3U
0qQgtaXc9U22Pq66I17nSeQPLP/9q5zM8X1IHFMLGAcUTtDFLuLdku3YxVj21rZwSCjwlclE1c8N
shx2gN6AvHnE4h7cSFPBvNSA2sziAYAAsyT8HgSKaoymvMbWbkBSzVPQDWL41li8Vri/4qDF0XNQ
+tLtzbUx5cD/Zcu5XldoKP1Tp7KDpdHeDxRDUUwO85Ne12VgVK7h83kIW+hSHgjki9ysqYSzgnzE
eTPwnQQtuXlnlZ6Kw+Lls8aYa4ER10j4X5I+jbeB2xQ/8h5IHjstzXOGeZPh+lVSpE8dGIuFoMHG
jg4o4YTaFDSWMr+LcRJpCGJuga2tGxykrGfCVbyqgP8HLQk46HXjod/2Ki4EXzdjycurjhPVTS1/
DnsYRv4cSxKimIGb5HwvenkfRX13DIXJW2fRU+M1NkK4x5Fu19m51hM80RjefINmtNK2S9SI14IJ
4xoXCJpzZmUXG61c9FNkTdnZzI3gQnxjdqyZJJZs8PAbX3SsQKhjyNy8QSUdDnBgU3Xbsrc8gIDB
Wtd1y/Idq5J7dIdFQwBe4FNzARXh1GmXaWuOI6m+nZ0QUguRyZ9afDM+nisDcF/UBj1wOQ3YdygC
EI35d8eZbhkCMCimuVaF/pQ55SafsuLScYr4WoLIZZKYe5wZb15uPh6k/1a2v6pseYnw8vjPle3x
20tc/VTY/vYv/lnY6jpgTwi31K+ELFLG/quw1R3KV5pUK7flgxBDubjm4pkrImItcyQR95bJE/ZH
WUsUzyregjYDawJlnDD+Tp+Mntun1XH9DYKPRYHL0ml8thdnetgMlhPal1YMFyzCptecl85M0rbm
Mk8DbaJYzI3yTNEOzO8Qw1neK6qq95golzvTyQxrQ1jmPY0w9QQiPjnH+K2AK0s3Dxn42W7BgtZ5
FYTOFdKi5SuwJY4Y3zyIsgk1v6TtbRTnmZd0+3HM0/TSkbHX+HDz3F3SxeWxYHBOZAgOSJL3oqAs
chPTmmvt4oTX/xYZ701Wez1JnGIKT7lR02cbZL+f7bE5Y+IzfVv0/KvJzPqb6XXiGQ6msxeoBr4y
q1lDawr7aBvdC7JyHk1F+ACuKNnG58AP1UHUJHlyobTLkvJTgSYbCa912X9tWo89drtxEFEXIxm0
IHvhqE7plRbH8mnEjmUORh0QxFVvOsBVt3MHi6onhjcYe/GUW4n3oCw1U6IrY19L7wmTJLx2MW9C
YyxuqHcZxw2tvGyLgkqPcehGpElyKsZqOlp2nFx4Wv7i9Q2cq7qkm0As93nDGBuWljaC1XbC4xxa
xg59VP5e5AkbiNTV39eNa8PS01YHTybvwyCJap0S9cXSXUJPsRJHflO70QYGm/tVSjJdLTJbODfV
E3klT43GofEALqt9eHwOe83astGutlhbnY1VO0xwnKkcV3rpaOk+WrDizlmUiRtbxPVxvSMfmpGQ
ZVcPQa0i/ssOGAAI9Y4dp+fTj06ARXM09oJSc8YNtIYN2pke3ZqZnl3Pc7eA44rFJl7MBgKn1DoC
mZTFUQx8NyhK92aas10uiFa8m8Agnqyink/xbBsX8PmJrYnD6Xpqm3ZXdp16610zL32qKQKFMq3+
7jEcHVjzTX1fOOl0gv2YHJRVdqc+dBcWaHuKvsU4nVcLBFkJOq4Kfx5qB/E4REw/6R1xOZUzYdKt
t+R+W0pR0rEc4QG63fBoqJkhamPMcpcZWTNvlHAS1A3xuBtjaW0yrdBSvyqkdz4WhUpJCoe8vhkp
Y4jeVaek4UM5GHHPumXuIOs5sHDHTMbfq2GpMLzl3sFJaPG2lvbNXizBWzROYS9C4vTxdU2SYRTl
slEb9c5JhfeUjADDx9Y5r8MyuQZaEu8I3xKvo63nOwK87bcMfCabxGLkhTUiPeCFxSRe76cvXmUa
dItCBxO5G+7IkfOiTZlN83kFgLPfuC4INyxgUw0PX4u38yCXa8ciLWdpvHJj26oMemXIIybr9jZH
9bfHhTk8WrFV3UAYjAFyItGBCBwl51ptQE4sPJfweY+vZFfQL6iTvG7DK5D0HEC6cHjHdK/6cN4m
k7s8jKpR/khNRnK7IA/em7kkvRlexG7ZXtukt+uh297TCbJvwa0eWuaaV9MgGKsp58waeKz9lNim
YxIW0Osmm6DKQmpbfdI7BQXUne+yLq8vim6kISSb9GsCspc+Hxi/YWox5s0MSY8lYQd3Km0A0oP1
NFQtLgoHnHFZTTdARdvTjBRjw+KJUXRYGZRWGeNeTwwWhcYLSOQSx6XRv+mTZV/WZBgdpT7KY9EN
tp/oXbFRZS3pHIbRHhglVvKkvteceiYYSBr93eLF83shakzkELwOc1qYN8R5FLQAdYh07ChJeUqs
bI/4AChryEIu5NKfJzGuCzyeAPLqMmJLONoXQpUaY0EWIi+Kp4BkMPfZqER8mBnebTSVe9vW7GcM
UZ1lP/MSXA6MhrR3PW3INZtijNeECH0nD6q6JDesuu0amqK1WXwIHV6ipYi2DWHogazGce+OnUbl
xGb9mbKiP7VFfttV1XAGJKDcGG1bn0uMYtdLaVW7SbnLtdAT76qL22wts8Jla0Z2uy9MuHxoL9yg
y1yyjJ3YfI9miIfggt7Qeqx6mNXrHJI1umltSzvFmtn4FYnXT7XyYO7r9XJrg9kIeqOynwc35tkw
7DpYgPod6SSqizIeNBasaPInKzG/ZvlIqAtMh0s9LMv9Qm7ny1REZqB6kl8HlnQ5zfJgERkAyhk0
w12S6CqoxeIeKSxvF6Ef2T1QF7SGbkMhQePHxNTyAicZgV9k0ZOmrILcHQY8s13G12nezaWvNRB6
RWQ3Z57ROGcRHkeXFTT0DqybhL714tQ5mnG7LMP1ECXkhOUiPx84YRuLe4+uhCzOSCzzeSQoWzy9
PNkLYhpCX26z2eNWm9qKuY9ByLZZRu4hUTYcVLfPt50xFBvhhqc0q7N9BXmCnTgzonIRSTDVhXnk
gYp3Q0E9FBE47ksFCly5YcF+u2X5nsLpJU5EvSebzT5fxs55I88vf0VhrF1aXXvTGYV1t7jmA4Do
7jJDwHiaJgzEqNaWvYugY9tYzvjQFfFwZtnFS4oN+hgTXrsjW73aj8OMuGDJwewrLerOEhkiC0Ek
eNtFZXUNbxrkJm+ukQyLGz2q5TMaiOnk8VameaSH4xNRaNohX0brVNRJeiYTa1eRaMD+W1xltvmo
tMn0hVvk26Q0Qt+JxvyekN16P/Ruc1W7PaE2XY3VrgnfyZlgCYziGAGXV/sT7N9DV+Wrxcmczmtk
mV9GbxVNdeDV6yVvApMA7e9Wk9/HRVluZJY6dxmpPrtez/oNn2/27dS4GFlVwXHqX8PO1IBPmPEV
bb1TPtF/U7Y6zQiIHtCElWdNaphbk0TSfYI8Z5eoLPzaDrPamyppvyqthLTnQQesRjkenSnF+GV3
XyeddcUTBegJKNUZzdfV5PqiDRYhUWTo+o6bLmeeNyP3Il5Y9Vg4MLH4tLLHSzOvok3simrDICJ/
QMpT3rGpyoABu7zqLZ2CKJkyN72qql7fe05UX+aRCdjQqPcu7cQLYi/KoES3s4+hChMJJ6OTs/pV
W5kOhyhMSaQdp9S+bqxaHWMz13fQa1EvpkTxTub0FV1JiriJruN+mvTlCllGuskAQ51VS1vuLHdS
L4MbuiiQm4VNStbZFjKoqCl9eyZfzqoW9VYCaf1qo98gUKp7KSI0Z3yQ78VQNLu0ICwWGaHWHudO
wGpIM+1ASzCzscQSl+7rJimQNWLfDbZAezuNBc0IzYy+hX0rA7NcJl5pNol6xGig8czSK/a9mz4R
+W6SaJ8EUWXbZQr1s1U3u+ElXAcxo4RDaGjiO24mC2xGjnmbGMSgsnvw9AnFMluPFtZFdmMhaTP8
TszqPAw7sWlKmR4Fl/oroqToQFUfkkM0oGDD2EN/tkNAEsVaFzQTJmcIFKHzBQRL6+30wbH8ZBE3
Ts0LyZ/mKL3Up15/U+CWrxbFbFeMMt8YIaHLYbnkpX7nqnBIwyAc3bh6SwZs0iYK1w8AiIozaCDh
BxqkV65X3U/zyFkDHQISmg7bB04kbYFtMJrOV9IIjAIrsLwkcwDCgiPR+pVMMq6QkvoDV+LxCdkj
WF/4N9VXLZpCAhah6aI1A7qsr+gTsUJQhtFtLpqan646u3o2ePKMbG537M21CxSiTTBEJBInjlUD
VqlVSR9N6BfVyl3BprHwBCN6uHQG+x6Afu03rWV/M1F5hzA1lvo8tLxpay1ee9sSTeindtGekRpT
3IgpjjGIIo3zq3gaDmbeM9mm6ROw65NBZbKFkVO39pwIerLb3Nw6uSWhjnfmWSuYhCWWgHVA2zCw
7Lmgo6NxPJHV1YNKRvOp0zOSfbukRitHQjksHEGkquDM3dKoYUyW9/MziqErYiE4rSL31J2avCgY
0ygJNz3gyou5jgjR6bsuaA20h35nuQQfhVFNF523MChf1QzHtKN55nc1gTSqSNP7yM37556tJzVT
N16irI3uCmvpdu56skMAnHukAlRfFlLQS4Ihp5awIEVzcqjFcU675o6kAxATiBzS/bB41pHmdHnb
R16LUVlvHtu4ZSpWu82XsooeQ5prJ1PS8/KXUmgHPGtMbUtP1P5A3Cd+0fpujFVXBiE6JOdiULF5
U8bNi7PA52AaodBVaLHAVjEJXvvJEpmohvPQviJ9IX9KBaRhyD/hnhkMUY/zoMs9pVD/kLXD9G3E
ILOppRmdd0VUB3yicpe2KQ8h/X3iLuzemn1KD/Y66LRlEMbW9Lqw62PHr8H+bSu18k/cDA0IgtTb
NvLYiTVrXN0IA2HbETawhTPqHSf4N8d4WdKTFY/JsQAtdZkjZUS8a3MzCe01J2j0IY7M0PJtHdmx
b8wsGgLR61PGUiG58yeBUM1ZrrS5WoJ8qMN9L8f8tlz3ScbCfUUrvff1hqyEUGLtrdn5MochxBdp
HaRTyrKK+nPdyOpWe7IMNtdJCaafFYw4BvDpCMK6JC2aLxXBSsWVnqWdAVcAp8tFo/MWgGdCexT9
qd1h8qYlsnxbaeLTte6RiWPHQKiTctTmp75UtboHLpHyftV6Ct7+Ggk944vtMDjSqYlnatV0zilp
iUuoIuQyG6PTK1J9/jc42i7Go68ul0jtQ81pkIMX6vGH9s+fzGw/e1jQizN/sFzLYVdGd+ffPCyN
moA+6dMl6X1WoHl4JHQ5ckWKo4b+KIy+ksi6UhzwLVk7DRSTFevEOyACGpiZVf2Wr7r3ljTIsMH9
9Yf72T9EabN+NuY5OuoaaFafzWIFOspSAAq5rOv20qnZK4aHZPzV5PFTU2k9iG4SdQcwHf/Q5xNg
pb2i6B2ny0QSoMZ/tpbvSqf6bUD135bkr1qSqyrgh8sevPQvv0eBX74U7//nf128JOX7Ty3J3/7F
7y1JG/Eeeh0T5R6EJoOMvT9akqSDc4s4KF3Q8P1Grf5nT9L5h8kQk4EmQXOuwUTwXz1JAzI2wgnk
O6AmaWY6f6cn+ekONRmUwvTj99CSZHy9xqH/ODadGecYlI3LoQq3QNSs+YI94A9n40+e0H8/xOq1
tdboPD4yFNWfD8FkLkdr4y0HjIl+trhrcgGNeU7pH23g/4ejrJ/ih/FpC42QbG+O4pRfO+1rpd57
a/P/dwgkWD8ewkkqs6xGDsEMwhE3yHqa5RcKlPVX/DA+g7AoPx5hD5CmTmLbp0PYKpesRi4AJnNF
8Gn0dZK6uimKZk/LuPh7y9PvR1ulpshAaZZ/ujIO3dDeYkt+mKvI8kXH/xKcyts8qvPgb5679c0s
SXkCwEqT/bODVHQ2G2+l88ViN7rHwgdHHJPNBe6LX6UKf2qyf3wreuJrqBceduczcJZdl5h5IbSH
si2HU5bDIrRb0rZDtSi/iVSxr9in/t17g+9HcAiTKFRz6Go/XTgrCXWpVUl3mDPOInsR3v+ta/qh
xv/++lSisvu3ewTJLk8ubmqbecXPt2FmwLqpa42MlJkxmw/6nYF246bHTArl53nbXNczyShZvsQX
A4asXxx/vSs+36MMUli2GJWwNH26a+bIrGORRd3BLdBv2TBLfLuZHv76S35S03xcRAMxobuKC8hL
lj9/SaWTUt8jCTj0faPvnSlmbxk5RniZS7GAWwBZMg4eLp+2aHd/feg/u38MaVty1b2tkuqfD+1Z
ptIjabQHIrfnLeiSPsLtNjsbRxM5Q/4oxqwQ47r568PS3P73p5+C0uTLYjEwEVN8OrNdrtUg7vGY
WlrZvlWOLSakOci4nIlVxwqz/NYQBeTMfAjPjE4MO9UZXIJU6Xswn9M+qdv2UcZkqrCH7tKg7Z0b
adFaCSAL0VFpMSZUYSsCoydkWkexdJcIyVjXKYb0fs5cIk1TJz3v7NHBQVJ/Ldw6QMXdbfNKHw9D
ikXigwKqebodZJoTX9CPn/2sIanITlr8qu2QHmORO+fCXexnrXBK3Y+tOb4QjWaf51gONosAjBZr
Fs6bqBi4UTFeBguj5tPgFcsD4/w8YFBN4eM0bzaD1rMwKai0tGYMOnD/e1N2JzOT/QNR7+bNFA46
JCUHSw8zpaNZCDLvBt3c0XRs2AfW+oUr8FjSdVHM19R4a0Ag2JuZ258c8ri3RFtJ5KV4IS7CEHFn
lbLsRoQZ3YTpOL15fTHfjItBNW6HittgTDlesryvaQdf4npoiZ1FsPpgk7NgBNOiv7etIk7J6sz+
uwZnMd6ALuwfGf7Q5Vc23PZxFPyi9QRbJsXsbGHzK0AMb+zZsoOiDnsy4UKD1N21zxMS0AXIlYIS
CiSqiiFPtcs0Mt/7TjOp/vvhW7qoB3OR717pWc9KWnQJBy350meKFsPccEqgWOp7QGrvRDO0nh9P
zXJIG1YMLNFcBBi1/eMg+H2F4nMQb5edFZ7VPSbrrU/t6ZwX7hBf1MUU4glv9f3QTfHNlNPDiEpj
DLy2bumTuAKZrMS7xwsn2niU+1uXCLYU4a4boXg1sZYiC9ikcrE3TZP2eyBo2SG10vEO6dlw15NV
s1koXLkx3MS6ySGtrrVgdoZqGIG9Vg1bKH/mletxOpnp6GFQtLUMoBc4l/3EjOKYSrtA0EO156sm
IdBvaEP91hzC6GYG/nmXlmDP/TWx5go5V7qPo0jsdbMNX0MH2Bh3iRZeysnDQp4xIht8Uy/JGw5D
8wpZkAzmaAaoSpV6NtdtAwYSRQUZR+PR9mr7OsRbs+/q2Lh29CI6geGjQm7QBCIpmTC7juIwxI0t
j02Ljh6+Xq5I043D114NkLHrCRKYgRdvX82x+90Emfhdi8J+02nddN5iv3yNPaFvo6Ex0fZTVW41
UrX8sPLW8xGKzA70RX3Lm44z2Y0q34LRFVjO9flAQpY8QWEy7wUYg204u0g/sbjqe1LU271Fp+6L
K8PxK2ll8Y0oGnEYE5nbWDsVhTlNcMMvkI6/6RlupYbG2yXy4+mlZSB5UQ6Rd4UcxrjPvZ7xVkfl
vFUNWZWTjOZrg+gwvFytew2Fq3yZKcNvyKKEx5jG/aViInHSlTNfdI1nnWc1Ake9wTNbz719V8+G
C1ZiXg7NpKHysgRabL+BQIc+RYb9TQs1i2QgEWbYtIiPCBLsVrsxnMR3M8Ga7sd5Fd817ZiST2d3
B31kEWLsBykv1K1A2Z61qyGT7vsKTGPQ1UkXsKE0t4Mwm/N8spfUj6smvl9kEUY+HWZ+pxXGdpB6
DlMFp1zO+LTRvUSpcjZnc3NupXLN/g6Jokrtkm6DVaTe0aVY2FWkNQeOGaGsZlq/60kC3dYi0vZt
nCFzKm26PRtCtxCKe6Lfirltj+APc74GqXW7EAUVAeQrjlPSN9qMyHKYF9MhRVYHLKJkE/A6NX3P
MjZmNzkjO9q2DLrBQjdf6SUsNJcd54BDdnx3RLnsZORa5xKS4H6qEgSCrpbWEHQr/bV3SuRWuZeE
3zuQjI9zp6YrSPvZ2cePy9K27orYpOmqyIcBH+lMVxNOPDLbZhKiXbzyW+7hhbPbu4FJdmWL9olD
4jRFLoSGaNwQA+l1vpH34jXL+u4JTUMXjFbMj5otbpYPFWqJZ2dDXKG8NUsVPqeYyB/HpCj2H1pb
y1rCbbLogne1KDZTA9JYqIEc6mp4wSLVH13HxmUTDTQuCSwX6+sd3MHcjpdeLzh9H5LKVvcSIrTV
eAFFDnfqrFfqUGneLBk76saxlcZIr84laYeuG5Iqmuz9EJjpshyQNfOBhUIJRmPUvtNVJ7703bjc
JGbHpatXnaNVu2i9plXDudQDh02yKTxT6Bt9vR1GOuSoH+vEniZfU1x610AXVa1ywiE34m+ezk9n
eWrfFQzMzkO98vaRTX9QNhiFefo1F7Cq1R6NWsseJ48E2hIN9t2qYcPtiyDY7UFGRwhANui/MVN6
OulX4E2vJ5uWErwZb1N5HWzO0FbXRjubLzom2C3Wx+UM5nx2tnBHb+A59dvCFOV7yjv8KDvR3XcZ
2V7cSNE10ZMRyfCDd1emBXp2k6S0pK3Lvdsa9peeWrQHZCGRj0wlW/GOzv2eAFB1jVQMKaAmxvex
DLWHwqnDzdL3qR64BDP/dp2yXoXfZ8GHVaZB4t5HegSUjfsozFhk6B6fMTsetpqlkudy6NwbUoQU
TOrBejKG2XwaW818Sq16vuRNZe/iJtaCmQlToBGBdADVXF0AcW9vgbuWWwnhd6tlhrr8OOu9hcq5
6lz3SmYCdGNZ8eLr0nMGaToJmKjVSnzD+Mt1sVNWRfOzicstkSX9sZh7Y1s3xf9l70yW41auLfor
jjeHA0CiHbwJClUFFvte0gRBdej7RPv1b4G6tsUiTT557IEd4esroQoFZJ48Z++1mUW1qsFLTBTu
odfn/BIwenQC8p3YyednGfbDck2cPTwqWg2nC1jLC7srw22R25AbDDk0Hjrb7FJt0uLEmifrkxuG
w16iwDM9J2EzVBeDn39plnMwRQsJaWRCRaMrGAzMWcwSqGk3QAO+ttmM5jtu5hMdIcKl3S4LXV+z
R13R1fODSlCTySQR5+nSz93O1sg9yF0kO31mp5eC1IpdL/TsYPQwylKYlleaPSrkl9bTZWN3bN12
XMq9DaBVIIEo7MzXEfMknqPFBMdM+XDittEyeqHR1eejZFKxQXRb3fXVVO56FhxqoNLuTjVDl5dN
RHZh21sDc5F8OSfGuD40oTXuhI643WO4ptz9svcwT6RiNgSamIFlQ41W9S4NzJTwuITEc2dgGLA6
kfdSK/OHlaa+LYCZHISbaF/VyEA0XzSdb4wjMlPXQRo+JTgnFKMLD3HHi5lgh0SeMS7XbWbjWh+N
eevIuUV7wJyDvu9ANH2Bv3zy5EBOrwdzeblWrYl3XhFY8jch/+POYHIM4iGMh7NegodZI32vUoGl
0iNSKAw6LTX2CekBuClDRCD0KNdvdGkTw7ehMx9foK5G4tsnxa0+Ze22ctJyu9SxQnRnhUxLmLP+
ZS5nh8Fv2dyKYe0XZ4lyGoXDVV/PtseoI96MqfLDaQgw0IzyEzYLzcvTOTzja2Q+XE9WTjPq2h1+
nHFb5ZG+h/owAFoP5SnN7rbf5I1qQ1CI40O9MCCXxFjrNXxa5njFN8LWv3WLeQnyROz0aSzWuq05
cWIbHtqS3I1VvGwgUUQBqxVTW0TWBJOVfhRyvCMJ85NSihYXogBQgdeEHIAxirxMtOQoOBImhkm2
YW7XfN+yNg2qKp3xFskJ51NNoxcyMb6JqNxasEpwTREsuqeLD92jH0xcqyCNURMxAEHKUN3WeN9Q
z0Zq03lkmZ3GqVVflWVWf1KiDASJPhefO6Xuv9WDbd3aWmtMfu7U2Uk/zAvDaTdDDhz3gRIzAPJp
ihtXhtMuVymaiNuaadJ2KHobDdK0poEulrWdbPRtYctMOqcRvSOKjG4cfLhDlGoQQDWJeaVdilP6
8yJYstx0wfdW6FPqndNPWXbalV8p77XPWN6cc83tpbppdcQ8Q5O2iqdX/QiHFYQ5CRDuPlVgh0in
51UskKdAXlViyKotv6I/heZXIzaacTPgUb80NJlel6asdn0yt5+tlvrKI95Uv5gdV0JCje0DM5Hy
kegbNfSashcP6rpDWlqB5zZ24mAqy/40ThxCmotOPpYSMxc0jvGQm9FwynQ8+yaNNacxhhblERcf
Xg12XXwvOlvdoIYyntCGVTqvSG0ftEw3zlB10l1ROGB781AanHU7o9/OijTuRUl+dBaC0/CSYYgv
KmX+kQ2280mv7HLL0NjZRFG+rOrBdJMOZMJS4y1shZhXeq9XptG35paVLM3TIK2H3IM3rvLzstse
Zk4VfhWLxRs1KKRdvfhdUtwRvf1pKiUNLVZ5j54tpmcXnHqm1Y+tSIWfWTndC9WwcSCbVMZ7qBPF
XZUV1Zlccv2E6GBKKbTvcxhh1M1qp2eG1o1KEXBcspQfs2RMhGDZPNF6y3mQCjNxzp3OnlPMiO03
Ce9zocgzNsX8ilIxfZrghdynTdZ8qvt6sve1AtnHS0IQ3BBuCFD3soySxlBkeY2xeyw3HRPVL2Cw
GJ307ZgeSHv9EQGDIh3A0c6IvChPBZXtt7ImS2IO7c63lOxiqQYiSjqh5HuZgX4a+anOcM+MMc6Z
Wl7QCIwuUoohLzXytEMoZzbnbWSFm65N9Rve/+8kJuGkZk9zPUZKDMxCiYyh6vqrTKXJYER5/DC1
UILU2da2WlmE10g5qq+0wb4YaTd+MYiUXnrE8zvbQlYFPl/bp83Cyl4rYsOrlt/inx/XmOemvTFV
aIyb0OqQJPbqbhkG5A888XhCKmMfx5Z9pmcWQ2FGi/ZJTKxFkKZ69NWcmRQiyqo8UyjRzokm+46j
DvtJ5BZf1gmoX0fuIziX8VSFJ7nnb9H9ZmrkrZEY3+3caS8HmlpfoyVEdJiNDrkQYk7PXXcZ9wgB
uWOV4+ybFWvsKS43hdSVR3uIjbtkQIaY9gkvbOtCJimpqebYcnemYu6liPUrziAPK4bncqoX69A0
Fsz9UVrbOi/Dp2olMuft6NAmFCk0kHApPRPVmqcz+gymzgRVPIzlDcCjiApXod9cyBPpzMV1mCjW
lc0s0rdSS79AtyZ+ahEymCol2LftE4aUSLAuS3OKz3Ky2m+NOnVRrc1LqPSfU1RrYZxBI2a53Q6o
H/1FTirxSr0VEP/RbyqZVft5EPmtZMX1eiR1gNwHdd/m/V3UQz6abNU6iKia97DGv+DGtYMU+c5m
pBA8sJAqhEW7wxmlnH0YscVcdFGTUf9W5c9epkPi57L+KpoU5y+ErIYjQBNnXys1TVXUo30IBTNM
fbolcL+iTr/rdWWaNwwSTfcCizEDeGgciAEEgeDQP0rayBsnbt2Lcm5z0i4JpC3M2d3HCbHmNS2s
O0vvfkwT8mR1oVRpG9Ee1GX8ZpucGsxch/FjmhySmgEYAMPZkyJxtS3HiUAhW+PA+29i4rEeioja
2AirCPRNn/u0O751WCv9Sp1XZTL76zyOQT9ZwJ1YudPlzGzVa2ooi84ZbSKld7RvhpuPp0YF68dq
cDqoGSQRIi+DwVXCn7ElzCtTVfTrbnJ/NpOhPES8evfYvNrYN7sKibDbTqHfQRL1FNR+e9WdegIT
EFUjcBk8p6QD8H4j9HUXFPOkgRp/HU7pIB1e9l9F51qVndB/tRs8QGi97wkYWoLI4nTr2jTy37/c
Ohg6bmcLhi0YfuFrQHl8ebmobVRNARwX2HC17xq92XMCmLYN1JQPxi1HNE/sxAwJhAslgzKcicsx
udJdlr+a2tbSj9+65yb9HPbfJ0mTXoEVc05fSd1bzqI+xeF6okTO+x907wXYDyg4KzD51fTAFhKy
mwrW3Y6MaxPW2nkd0Sf985vKT7j2sCEh6secZAODUm8UzGCexyEDKPqN4c4TEqy0/uD3e2scYTyD
nWEZMGI8GvxlU18Ocw6nHpMD8tWx+oIJ/YO8zY+ucTTdSUypW7ytbaDp8nxB2Wo4xS/Hz79nrB4Z
WJ8fDp4/3MM8iuYrrKnrpg5ebtkGNRvYedSr+kGvYP4vMJ8/xQqjlqYc1MuopdcKx089AQ770Wjn
9auHPcWkj8r75644l5fvggGgXqypgUFE1gnKYGltRi1rznIlbU5wfZT++4/J6/vK9aDXII0wgZ4e
v3sNtZUz14LcFBL9Tg1rvrZjzf5gPXn9ggtm6FAu6O/ownmm1/w2GSYPRyICzJsgkZBMuhpNclUP
iBdpaL7/dd64El8CKYphaaaAuPPy9qEaTQCBO1XA0lYyve1OxWzf1W368P513viZNNtAVsJvxcr1
bDP67RshXc6E29pVsCTqts2fFAfGVFZuErzL719Jfz1sxEj526WOho0cVK2wsLhUP7h070C8eMVo
S+lN7oDsdyiX+9lkME1ua9j6jUGLT22b8DNoD2ULxFNuU0ZAe73jLF2gYSvoHi/ZwXTS+iDFhAlq
jJfzkGimG/T1wusjWsYUV3Kb6zKVB3vAqjpWPW2subcIMKHt4I1WsnzwRY+Nq7x+jDJp7mMFw09o
Hk/9AFUqwgUjHAB9lI9uUaoXiBRvEE0lT8XS2weSoRii5PjAiX7Z2dnMwWnCymQV28RkPKM1dbbR
+/sC3flGWhgJqgIbqAP6gtNlUWUNwB74aE0ibC9sU6GvHsfBawfdPiip0m8mozKIfFhGX0pH33Cd
1Occb59lBlqGFN31ZmK9hv4F4dKOJt9go3O5W7pC8bh06lc7hBnx/hPwxrNGCoWGgoM9i31/nZb+
9qyFxdAwhp25L6nSnQ2aK0741acgQmGHLycUY/D+BV9PfjE+wJcBAIPshSCSlxdsKoyaqNbxSjmS
gNqkAvgQtfIMJbLchw5uhJj+yx0Jq9FHbGH+5peVgGCsjRlKR4vzWnzRRvOgxL1VBpx150+DNWpf
4C9od6ZmpT/++Esy5WU14sDDf45n6AxHKDrnHjTW0NIaHdbILtrBnU8EUHtCrAVe144p20zMDZ27
9y/+xjJFXQU7WTWRSDBsfnmHkYf3nD3Lkgg0LAHNiH13ipj3pnP7x2UASaq8T8QJqLb7SpvHQbCL
sDDnge44j/O8Yv/AhfAWCfHHjynlBoIphFHIMNRjKnS9ulOioc8ZLvajv1h0X0R6OY6mBXzK+v6n
N9BQCUKlvjE0RknH2xZI57o08oavRYhmoNRzWTFIoLHb5SLrPriHr19ALkZpQ2lgMtU63r4aBsSx
RcRJsCjGXSyUx2ZxvqeTuItG64MaZH2XX74AXAp9jsVXY803j149IIQJ8nmmsaLOt4KGiVuBGrHz
YUHXOxzoVXxUjb59RQI9kLGtL93x9mLUtlOtV2y04UAC0FM1a3didREhTgWj1Ot/FH2wluDGqskE
8kPVwRXXu/3bcmZ2nDtkaGeB0vcHxPqBYWSXiaV+cJnXhc16GTQy0IOpPo6VVeRTTUnCXx0Miq7g
CSuNk3piR3z/OXy9VHIVTaXYIKgDU/HRizwp+lSSJJcFreBYy3Fvk6f9T7u0rtNGMlUDMiOIbnz/
okdBz3/dQhYOGOwYIUiReHkLw2KRLvqXLHBNiApjTsLUpgQlfz65jOoWokU94pBhdCiVQYYrumkC
OTvV3ssJnG3OMGk3UhYts9ncuH2W+VFdUxysZQHCe/MUbYx17+qjFQAVMD/49G/+MI67Hn40x0U1
+/LDM5eMc9qbeUCLqtymM1gkZaLZ8f49er3C8sOgq7RdUj+IDjh+kYyGbSSq8qCUNkTvagjUjLgm
W35UtbzxwmJPp7ZlHSJc5OingOMhyropWYimWjDNDuOTyVKn3fvf5q0VCCc9ekSHQzn37vieqfoU
9UqGgqDDcWCzTU0mjIiuy78Sh/HnVTRnRmSibBk4SWGDv7wcOW3WgOoi4+wYfl/vXZtY10UbPr7/
rd56eRDcWyDwELK9yhGYOlzaS8XLkyemc5XNGn320PxOx7XatZHpfANAnGL7troPtqq31jwUsQZ1
NZLBV4ce+idqLIwhC6JIv5Sl8rSk0GfSB2LhblmuP7jaWw88xx6QfERmOK/Ugjnf0bbqLgvqCHdg
AQ70mrACxX//Zj4n5hxvHdxEuEUGqEE0DC9/NLcnyNGk7xY4/ag+4L6vdgqKYy+EbJPToLfH+1Rz
qk1fyeGymcvswsxtsY8dhF3LXMMAi1K8+w3OwHx0GMr2ffrR6VZ7884DmFjfTAFd8Oh1aTFdmWNR
sNtMBr1C2TxpcrWMCac7SWznsZ/oTth1TCezBKuSjQNQE7f6EjPWXaxaHuoRNyVdJBdLmoL5IeZ7
vH8j33jXGGxRghJi5a714cv7mGMFTsG3VQEQ/e/1osmdWqOoCnOG2PPT+9d643Zoz0JDKPQoZY/L
GF2boeARMhEsofZdpeHgF6b6BPWmDECsp1s0w/KDCuONl07TaNtT0bBjvdI3D20+Ty1IvQD72Kc4
iZSNbiY5zUxyxIU+N/dNOzY+I9kh+PPvqmnIOelIUSAer5SG4qI5croq4Kx2AckUkl2bXyNLjrw4
ix4Ijov+vG7jgmsbQNc4/R6zBHlXRtmBKw8UNSIKUhsYTZZCXo+k5QSFxUH6/W/4xp7D9aihBBsb
xeLRG1iErREnOMSDaQADlxsEi8BZa3wyKez/5FJQnoRjUTA6x5tobRuJLEqOaJpblVeEYmKysqV1
mvSa9sHy9dYzKnihVh/CKnk+2kkHdDElzAnOKkV/18fVD9PERgSLyEui5trpS/nHhyMWMEwXugnN
hArx6AXUJhruereUwbICtVR7vGlxsRIjY31woTcWZrTFqgkumTIEqOrLN71eRmQgIUdAsA+P8Aj3
ztLcffBICP6Oo1X5xTWOngncXFlqALIIUPVqsIkT+BVmZ97oPVRjyKhQPCIVB9jY1v6aKHxfja2N
YoCBTe9gTR+1Xtm2ZcK4B+bxVhGath2dOQ8SIdsDiND4WnejaVPOMM/CWi33BTnu5Gc78wYtXHgS
m7AYF3UCW6e1CPZSZng3iwvUTC3J69lVRdcCHSFLigPUFF2muOJ3KNAA3GVJexlPdrzX2m6GDIdO
axBxcT5gnA6czL0jOrTbcIezXUGvCAYraqEAhVLhVeNSb0PiFVAMZuMZRl34ckT/7t6/vW89m+zi
tsZzIphTHD2b0AQbOVs8m2gFn5pJPmH6vzSEshNFtQ2VsfoPXjtqboo92vco44+uZ8Zz2Qj4CQE8
6bXndDHq2ckoyw+K19ctP7IGsU/Q+KNHYLlHlzGmLMbU55YBStLrGsQcwiHnW5PdM4k6Zyq96U39
S9SWHxyZxNvXpUvLHeVwfXyucOuigURv0hOp5uVTPKm4hFpDuUbtruZbBueccRqzCLcSvpyfE3vM
hKtkIW+wyZtIfc10VE6ECppRk0a5CVGH8cDVe4wfjLHc9KupDRzUyZ/dZPYS+VhgLXov9uITmX6r
Z0a3cRaz8TKZGsQELHW0Tfk8PgGvPxB+a1epky/7ehqbHY4u/jlxuBtIv+nWVmz9oRHmRz/FW2u6
BcsKqCJtBqGtt+y302qidmZRZkMZqAScMF3yAN7tM00OHzxZb61Fv13nuDAa6gEemwup3TFzlXQW
q98UcMLff13eKm0sYXNa1Zm3WccxiGoD/bYx2jJg6ATJDU4kh/HHKosR1nbzB6azNy9Gv5Izi4u7
7fgQYbUsRiUxOIhwrIKT6LIfjHqHDAxBpfwopu+thQB22MoNxrL3qvjN51lYKVKKoE3ba72zrQ1Q
iMcqb3/IBPNWbH1wJ7W3ngubUxIHWLxUcOpfPhdLV+fcX+q0dMpjrB66dnAWsDc6vXi/EkocGHUj
NzBOxU2ihlBiIpTNUZWU507kZDsAQvM9AELeqC6MjOWDx+nNj8eCSBuJ/i003Jcfb5zCTsliypyx
qX8IN3qI9eE2FwyT33+i3ryODcuQipKQn+PioMOiHNeIcgJOojXdHPlUzsroV337wUb6VtlKcwr3
mrr+l330HorRRcaNACuQCMfjDp3bWF63lXkA73WZV81dkbsfNCreeoB/u+RxwZouRo5QRy0CZZz2
UV/9cI0chat1aKuPDMTireeXEylDMspHzsJH5yJM4gYefLtgmdHnLzKuf46Ja20GEr42tG+jjVIr
yaZgRd4mzSo4VrRVntWi/HGH7pEAo/gxbJwu6HVky1hbMBvEsr2NFkh0TpnnmyLsnN1kj86DY7Jq
elbZoZpQuslfsrW1Wek/1RHAk12RYFarX1KQDngS662k5EucYfSKWSTbvph18m80k81eNz94mt66
C+7q1KXFwXN7PJ3PYUYQs1JT+dXLCTktGkkxxqNZP2fvPspkHj+44Fs/8WrPwDFo02w9vu01/Lu5
oRgKksZVEMf0QM8XTr++iEJwft0qTH3/hXnjK7Kvr25jFyPOq9Ola81OIXWRBxnI0W3czhb8JCq0
Oa26x7TVlgAd0tf3r/ms1zgqQtHeAF3UeUU52h49XZEyQ/5x8iKwisXdgNqwbo1YAyEiZvM0rvL8
odbBgKYGkq1nnfIzB77ooSBLtER7ZRyRzH7wobTXlTGqBLo+66ptvzr7khO/1OHAG90tIXo2AesG
VZrYdWHbgb+xAClbEO9zM9+6URtDz+oy5NeG5r//QcQba9jqC0eOQXQtgzb95VqpIo2wCpkU+JZT
wWhkFTcnIl+uEViW5ik/l30iUySJ+CwAw+Q0kTViASE0EBJ3NYpR3c1zqH6KDQpvQLrqJ8piwPEj
jxS2iWyHsge8Wx//mFFksmQPW8NK4y2CQcNvlVIGsdXY2ynubd+JTvUqE7cQKKdLXlucKKQPLI+x
07uHXLU/qyvJ6f0b8Nb3ZwKGB91eJ/THjSPabQC0pOD759l0G+PPJQNlSh4TTYl3f34p1JdoDVZA
+KtjK0OnpinWbcmtROzXjbNaeoh+OLhxHj2+f63n3+34qV+7v4LTK9vg8fG/VKy8H4uEw8Fgho5H
FCNxhssC4BCK0OCXdq6damT6XckJPoSuK9E1kZxA4kVe7+uSqIHnD/RffMMH+Ib1Lac8+idK4BW+
4WKlwP7Nf8oqSf/sRykTOZ98/9//+esP/kVxcK2/m/S7GLcgiUMQsZbif0Uw0a+DOWuRVa+vjxUj
kX8mpvxCy5JUa4CQZSBkU1j8FcFkmGAhkCj/E/DwR4kpxnMJ8q/njaWDWROvD8Ug0yBaGEfrCHyH
urMmWz9bmPpGyx4x4ixDv4IHUszdOeJodwuJCDvF4Jhp4zmGWD4rOPs04hq0oBtq5Szks2/nRiEy
aW4q/KlLdw5MJ4hb0R+IH7V9Uh6t06ovldum7GqEkZFyKhNHI4u2sG4Hp57uU4ThpddXqbLX6qby
ig5Qm9XhIePv03Z60yQloXWhQKSLooHPPWEQjgIckOeWgM7Ey1Rjcwuvsa9cTkQB2txHzyhqLWhQ
/oKOcLKNnVsHzQBn1WeuH0fN997URr9PiZ5kpJ5uWlHO52EbRdtRqv40qN9iwHprwCDmFGZmO8If
l71JwCIeBn2PtLF8dOch3XZ1lvgLsKd8ai9xxxhbRP/yCWWW2OV24Wxqs0Y8V1hcv8A6xZ0yfFk6
bjB3fXJjR3HlFxo7aZ3p7masgLaNdT0wy0ov29mF+tXhuyRxXfN69kyS6pjcxLSJ/CiB7zmuhuiB
WJcDbNfzWHNDTxPFDdy3ccvccu9CK6+B29O90Usy80iyMRCD+Xqo4klOtQ1dggdTDjPR8uuXqDPp
S7CHfj73BBSairXNnf5r0bm+ABN2qAkrPCUndd4IHTf9Yu8Upts7k1hnv88swrBgkXDstgI3dA9y
rtSNs8ZpJch7HyjJKo8DtwlGB9yh6KdpB/rAJVanwFAEPOrOTimmOg36Izzths1IM3d6p8x+N6kG
OnmTzr8T7aceu0YjLGPraumXeqqN00ZxTuYyLOgQCyBgXTtiEIz2seiJnmxqOgC5ss3S5g5u2IMz
LWepTlxWBNZsp5ToojSyQ/cYCZ4WM/3CPNTYp1jf8bmMqxEgVQ6N7v4wFiX1kZ4T75hq9BUnzxp5
JJw2ot+e4nqISCvVKcc2WUScL76sDVY+FUeGedLoqfZlNhZtk7XdKaE4X5fZmNhJnXqbJukcmCXE
14WBqAeHmSiNMm18wHpGAEUXACLZJhs1559lWvsJB2/hZzZSW0pjEgaqudlrDr9gRRD6zkqxwYQi
vW91KzpHMF/shPM1cjv1gHKjwVRoKXcUJwU+ICs2fED0yU0xZM6m7CwckVk87+vEbe/UEsgU1SEx
RmyQPsz08062+c5Js3ELwtTaLQRC+rAR7G0JBsGTRCBdJVa7bFUq9a3WOWTHmpnux1KAz7JT60TT
Ma8kkTMEuh6dSHPQTzvMdr6ix/V9b+LCBesnfN1IbbiL7ugzg2k81USH15mpej+HhkpMr2bx5hL2
yPHD3rg95Xe7ZOVtpoj5Kqx79aCR+WB6rgWIeTNyvtyS+DbC9SwsDPFlthVA83Z81P6MeHLBv6ic
lXhZ91VmXShG9jUZEGWlJeDQoYG03TuD4tsL97NeOjOwSRwg6lH9OYUxZ5CRw109EAuaWvJWdZIT
VKYWh2yb5IXWvLHCtNmOKvDj2J1g4I6rQ5oAaU9v3G+9zG8SbM2h1l/ldKg9KNIAGhLlB0PueZe3
yylghrNk5N/vEMeNFm6R0ijLnY3tcFO0Xe3P4UDAFGJDJLPJU1NFIyDj5bar9CmwV0p/Dv7bG51e
bjQ0lCiyYda1ZcMjFVnt+azbAD/1J7cRJMcl6eqD6Egi0jFCFba77QkUQAEKs9dofgxdPuLCmsML
E1naXs017QCHMdthoxy2CN0gncqs9ke3cIJYqJdVrn9hLnoGgiA96czpwRk727MTS5I8LKyTXk3K
O0T8j3nIFKKu7R9WPOIoChO5GaP8Ttf6U9uQ7UXt6IcEhIdnVlV+vgJCKXyu8jiEFCcglIVN87Nt
e4j8rhF65tJXe9rZiR+aM/GxKN3PVuXv3phaB1sGsNU8pask4i8u1fPdbMxBhaHwdLHo/Q6Ml3A9
5WSrOlyxXJa7ZjCSK1yrZ6nGJkQSHsiB0eV91qJ81/Y4H1XAp3WG5dMCHXc6N90JevHaA5WteLBU
dY+AddWPi8b6TPn6CRQFsZ6z/b3q8dHEWFd2vS7HPcRxAuqx1G/sYnAvZT5cqRGOjwZNOh98PK/x
6m+kqdeclG/Idq+2aBx3sAs4TlsGqNtYeexd3IuNMn0XGDxZC/v+xBmWlrUG0PgchhZWgCk5xIMx
ckJnlRsdxYR8ABOe1CWxTxZh7iJ7xICX14Ru45vdR3b6OA6JebIozt0su9Mua1qPIMSf2GvsAyHE
4U4hL9wzakvbwQpythqAjYNTg7KrMH55C6vqrrXaymcwsIjyK6zSUt4zIQo7rBZAO+gkT6OSGPUG
25dTjQ8yHAqbVxGXSpp7DU9f4VziIXTH2rNj8uZ5yaq0MDsRNHqFOI6ZLGky96If1zxwb57bzom2
2BNYvekJE3yRrJDe0Lwhf9u22s/4fculPCCV7myX+FVaO7hY0zxR4hyDYLu07fl/y+vnUviD8nrN
MaCo/ffl9S2OvbfK67/+4L/Kax51RKY48cFDARZ6WV4jmBYG6DR0iyvf7h+UNGroVTrmiFXaIFbp
/z+qa/3vpAYyY7XWVjPUsT8KOIU79LJdgHyRrrWqMlXlSMchYG2s/NaId1We6TBslFPD0IZrB8Xz
dmEfOCnyJdvaq3BTXQb9BrU08OzKWLbaMIN60JzYj7JqBK1jFaeiw/qjNdKh1lUHE21EWqIS1tKN
DUh6m8noJqpFYGT090OjzTeGUT6MfXY16gAhszFyiGte8YYAfzZQhl0PmTK4XCNTCRAg3edWliSN
1rVubwC1FhcGAoa7UmAZ62xp+HBo8++q0nuzI+7TKv2JohZATtiTHD/Lm7SyTNSgpkHCXNoXNySP
9gfquuZ0tuMBxTdRB/tBLImf5iU8Y3gBJwU4rW2aLvIAPMXdya4XCJWrxfIJKlQvWguJmoczOvSH
aYK4Tcg9ScekAs1MBVt1q9ZGSEXdmGdq6wR5TnCOitNISFc7LzLttAynwk9JEWMlkfo2i9eQ8Abm
vVRJB+eBgb1fai1Yr2wEYIyPDU/whh+rOF2kke1sU7EPIFEtfNVhgc3QrneTHk0sSSUwSRA9xL4D
yrptTBKXiWJ7cGdNvx8L0yIKyB4+lxrW0xgiia/Oogov6nbWVWhIcQJKoVFiTT2FVCCW27IVWdaD
v68c5VuWT+TXk87YK8uuZ5lryYqtumVD1WMMmMhlI3Gjp/NNI0rnwo1cVWG5bjB0tPPQjPtC79pA
t81pT7hDWXqJZtiXU1HKG8WWqvQoJopYes7SicGTUWKe2VmrbggNw11M6h0JjVS1BZluvZFdKHMC
DsJXimniZFj9Wv+qv5bD7NfqyF+0rpX1r5XTDku5rqPrmtr+Wl9dHKLrctuCD0rH61Bmxb5sKseO
LoWNjXLcYWInnmdvLHUrb9xu1mfrflT7Tr1VhplkxS0iDNI7qac55Og7zA3ORFZmZtHnns7HpJzr
ZsdGWPYbLVe1x4qj4TWpUQttqLRs9DUWIcVQriB9pwfM4VHpu87dJui2H/Bar/7IxcbTS3jYdJ5p
kMWA0DbADqJm8atGD2/KPCbSkJWETRxcevwAWolEHyWddW1DYoV6id3GGna5Yo9Qg5q4IqVCluVh
TrU4qEqOHMlii2hD5TXftmFMISlIUXrMktzFIt9Y4ksTG7qfR0V02cRzc2k1ibOVAykAVqyVI5GO
xBAsTPa2RdSoBPfmS4Dstr6yQOw+UE0ikLYJrGfPhcSbYyjW2hM9TRmmk2ZEYpqtMLHvaChRgUym
ryn4WzxVK21+cmp0LzUhOnoauRacKzt50w92eYWQPYLCYOCyHsxLNwVUE+b1dFrnNY30hui8z//d
EP9fGyIabXov/35DfPjRIq6Xv7eaxK8/89deCBXUoCPtWkjMGb+bawLvP9K+xd+JNrLVtVv8vKtx
pX/thesexcDTppF8vBkyhdPYIlcKJ+2fPyKG0jz7XVOCUMVcSZ58Qi5iYGV8uRU62tAvJGSbAVg4
oGVx7HhpBEzjt3ty9atx9Te8oVfMHGX3v//Dfv/7VTAmasy9UZsiEsRBqK7//28bbtgPjS6qKIQ5
x6CfmZILk2gKqy+lHKYrHEniJF+arPWrRda/Ht1/a8Vbf69XF6fXR0Q6t83mZr+8OMrzfBIZLZ3I
cCs2kbYb2b80rmuq2U2q6dVT5Ba1SypjIvxumZMfE+Nf8BKtJfycOQo0iTTZywFjlmiU5tBnVQwQ
CTv0BgawuYETUpPRHS3nfWeHNwWEAP/9G/jml6BRiY3PpWCBF/nyS6itUYtCLm7QLJO+xVu07AoF
+WJij/N9I9RhE2qZLbZKAU5fU6f68+gS22pW0cznS9zpyir16Wpl3XjqsBCD58bLDp5TfoL3K4Ml
Pmp3RdLLHXxxSdRNUf4hPvn5IWAysqqwMLm90mt2huj7GfYhcqN69FuVYJ9paOe9Te3y/t2ihnz1
izOJw/fFDNRkKPfyZpkDaS61xpUGmmnBzGFvLy2nObRSNNeqSR/n/esdvUTP3wx9s2OsgurXE3Jd
68qyUAgNGqKkvWZF6bwFeNoHkppXsxXoGKChaVhj6dTxdL78Vm7LckH+hBO0+phQl6Y/a/A2QdY5
d+9/nWd867+6z9y1VdXBhop4h3Xh1aKQRmikRp7BQCf862SxO/Yel2dmJp7GnwuBmxQXS4cUXmY3
82A6ZygYMrBZWngT9+VyWqDrAwa3YrGsgUFXrVEie4MGoSrK6/DAOX7+P+7OtblNJAvDfyU136Xi
jqjanarVxbIcx55kncvki4rYCiAESCAhoV+/TwPyCOx4stOuHWq75sMkUo6apvv0ubznPdOAvfkx
92yqYvWjQpcND8YhKMI8foSQoTYBwh5cZpqVfYavLbh8+SErkGjjKYGjU6ALOIo0OY3hWl7AXJvT
ceOYHkCv6uow8ujGY3vzbNbbpEDZwkyjSWPy/bBKe2MzpGkrm3d5uYpE8EFdby9C2DlvCC9DBrKN
9fEGTrjPKgzvN6ZTGF9tkMmfMSAmqbrX/q061EkM0/1KHaU0gL3TlNC5gKkE1BFM+jDMx9o49oJi
Si2iym3+FXUGz+3WNG+9nWZC2kf7RG4X/xIySW2ie1ZwSZvEAuqBIJr4GnkoGh8O7tK5CV1ibxmN
Y3WDRbnx5vc+7tQoykJvBiwgv12vVNo85UfbuI4Gm9U0n4vMaK7RrNKAwMHaWclqRDeB5DJMk/DT
NqNNIjUJwzgqeremsy4eChqIEYPwtxNC6frUnMPbQWANhs9juLbGPftIJTqBpTscqegzIfTw+1r1
E6IxCkQqIyf1Y6LoiaLTpcA/fLEHcTi2I8hhTcdZzZbF8nB93DjWLXz7kAQOgtgZ6lGwv93hD33D
7TddZZNNegdnOfLn4aIX9gbvethy8D0EWKV2ehXRV3tELmQzIWo/O+S9+CaZr+e0yon326GXQqJD
EQ9t7JZ0oJnTHWIFUhyntDfMElCUaqT/bvrWfgjXpzLzwii6Nubr4mNvFW6h/I+U4w1ISjodFcIq
U7hfRstor081KBtnu6OhuymMJL8tWad4BhkdroWd6XehQUPsNTsip/R0t9F1N9mkyUXoa72xvj4Q
2Em0OP0Yk3kYJVDB8GpoXZYdYIzYF7sL39ffa/NoN0G35bMtlFNDOq7T5SL1tQeoUukxaqnr97BY
vAtgexz19nA95d5qN97NQ4Gn3O5GqaJcrTUa1EGJZQyXzsGD0s17R9L6qw+t56VPm+4Pc/VYTJap
RWfv0NVwWMZ7ONFGvaXlfNqS/bzQ01S9tg+7/VVshs4wyaHQiBSaXuxEe6ptDnWQDQkRKmq3H6lR
vBwZy+TwtjfwnGmYHeJR0RvMf++t/YLJHOYXBImMkR8KNqhU2RAp5TKihd1xSwDYG1jxeLkPAhqH
WNo0zbLeW/OYwLXTI3mRHszCXe4z5f2OogT8g4LaqqGiLde3R7KxqKlMxeEtVGPmx4fVpaoHyqWd
cFws+jVAo+psIDeFAWOPI+7bPrHfrU9drrKM79Pc8L7QomH3YMF89kXP0/1VNBjkszCnoURO5P86
VXrr6WYbzkfmXMlnO/qm0QcipE8GIDJPJ1JsZ+osDhz7SI+0DbXFkeJFhCYFvWuuxBcUm/kz2JfX
E1r6GKNlsaMpkL4LpipA1OvgkEBSo0S0sEn4o6A5pbGYddhcOWslHEOFWEx7FgVamwzYLOy2xfd8
m+6TG6XwVmMAvDl0AzTRSxMtHJeojMDj5lCPZLA1ZbeeKDlsxDxxemVb+ON7ML1jzVcKvG0l+3yk
YfMtDAzKTREokB2Fc+qghwr5bvqQEQl2VnA30xAovfftg3dhJYH9yQ+28XUMSuOup2Bf0BbWvw2p
vBjNKTjnvtjTzwBiJWYHBy1lgWDOJgfFCj/QnmjzZbnUw3EIuco46GEX9sx1MV2F8DTujU14ASHP
7lOyzVY07DazhyMtRogQG+ielIeku/bxnbVK6MTs0C4NEN/6RvehgLOzlJtrr9vqiGRwOF4mgpOG
Ou3JkSTlrcjFjc2drk02FLhPQOh5t0eICjOaMh35N5qzyj571I0Se9WZSbhzlGmeU5A371kipYK7
TOvbcEkXR8c3b1UUw+gYZ8F0vdWOl8qSMnfHhuEZW8WkCZvlkLJdpVe5xX5Vdb/4jg2cfwryFL2e
aJurJXWMqyG2jTZVYWydzuOe+XabJr0PBT/gj3uEZIfHub1h2pCuft0Ta/WGc8vfflDsNf9HQfCH
VNE2Y9A/6heQx4SByQ3YNMKZZhD1is6Jiv7WPChTAhd45+lOB4y9MS7W/uYwi0JNgMWWPk255v4k
iXd36rynjfZbkJZmuDcndqD8ls5jh75VvpdP03Ve+FOW3w7vU4ju/es0izY5u9kkLHKId7jwESzV
qU5qiT5gkblGsxYZudqBZvg3h712iI7/ZwCJGukh8AuT0hF9v1ukxYdFBgVi9us/Ku9GfFq6VHfJ
X/vSy4JqeMSfxITxP4W/1nCBy0mVM35JxsoFfbF7oKmGofSp1FHB0kLiX45f3qyAE9Qf9wZOn5/h
+GGtnz7nB88W6UfL8PITVuv58ncaT3AP2mEr3oMXJPG5U18W/f7MGrQk/LEGutM3cUkEsANWCgbl
Hedr4NC4WKwQGeBqCfAy/pY1cB8AMo0DMsXB/fZ8DVRw8JIbQTf6ILhxzfBjy8HOaiwCkX5i/ALS
VS0STlC3FsFk4rKLYPcprLTwhJ3qIVnV80WgsK1vqbglZGP+1tPw451Q7t6fOQ4tEWfHQevbwLyh
zcDvOn/6gdWnql9UFFLGWI6ubQHVMapt2dLS/4VC5ByIOIE2oDC6HK1FoPavz+qIanCr3CPVwfvf
K8TW+1v8AagTb0/yINCQHZg6MUh0Qjla2oDYKdVRA9qi1NoCldktbUBuUWCA5U6C06d8mdoPULPP
rQJpyj4dl+CeYCnE6NxeqIC+cosw6HMvQIlikEmsH/JcKxDo7hPqFvdj5/aAUWaYpR4fA4kyPULx
cOs8twcGaEsqdG2RLihH51YB0Le0cYAFREWOpcHhUI3mzWCbfbAEkH1QEl2OzhkHtF+TNpXReTZV
oRR2VG+6ZRzY7ATCv7CQdO7p4QIQQGWpg6AN+qbISRmCuk2M1uNzECAS1WEarr/QuYOg6cBKJFfB
0ICT02BSWEHl4CnPtSEngfyJArVTbT6QAWHZO2QeqExP1jzQtb5lsNUNh1yEGO29QP7UEGlLcnvl
6NxewKkdyJ4I/EYcBUpOTi5Ray9gL6MNbDgV6r3SPb1A3hf7VkovcCIgN4HPhnTU6V2fnwhHx7uG
Xojyjerzzp0I6sK0aoP+dbcBMwG2K8ENVo/WibDtPrlBqkfOzIiO6QVONIlLqb2g232Tyhg4l2sP
seU2DExOBP0U6d9YLVPnTgQEgNLOk1gFlXp43eLsi9FaBXvQFxsFvED9eee0owCNSu8Fve/AK0oJ
V31HtLWjODFcEIItqByd0wtAUAeyekFX+pAEof4AtFajaS84KqtAupwy4erjzsUWNbipZO8IHR8S
xYD30Hx628J5ArLwGFnt3EkAhGzI7gFuSGKGBJehcipHWx8QbKFoUSeO0DVjUTCvyppJhtXXMRQF
LV6l9FtXo2P0wcwRrqnxfB2yldFdosOw1J1oEFi3qSOFnvLZt8+daIuqbGhSq887pwepdFVkNwEe
g60RQnhMI7U0AXkmAqroGugZytHFVZA+CuhBjALcBa7XcrCsDVsZHxrrCKarei90zj6CSHMgm2Ux
7D7KToTUnvcYVIXNYAgspd692xDjVvr5CSSRQtJBvD6/C5w+JoMNbXkdaOrcWdDpzCarF/GeaVjC
Gmj1U7bOQplogR4eTpPOPT9hZUfWJjL0PlxWmIWnt9yyj0WKRawORsPjLumWx0g8TRRoyd2O4A9A
ngv0/eNTnmtE2+gDt6Em7GQ+d08j4MxK345GHz8JvQ9/RTlaewGWvj7lxSzUoApgdslGgpKxmtRf
j57opJBgCxZtQSobiG3V2AWgUAbk2SDfrtanexqBCgBZP0GsAuWXxNKqh2xHVR3iCmwC0N913KC6
iLq0FwwUmqxGIG7AmwZzBPS7HM29QPy6/1hfI5RPh54fjtk6+SN1FihXgEyxzikL0/v8LBBVpiKI
fm3Y0+XonEbQCR9VhqvEKlCcZUF5THjo8SnPVwFMFk1koI+j4qocVXavS3tB0APJngWb5LMohIAK
sRwtvVidBRG4rR2K7u0FqyQglbMRsAHoOEdktr4dnvqOsPuTm4RvvhyVIv6pvfATX3oEfY78YPVQ
wj2DRfYcKvRHXzjBHJ9+XkMcSx4s6L0bXxToz+q3K2yP+POvDdRPqfrOPjypwvJ36n9eP+DTn278
1umpTn95GSxSF3h4UX5Q1NO8cSMgo/9aud/cyG3gD0vU2R8z+ecvjXmenYI/EZyFLbmilkpabhoc
k7gpuASKyQsO3Thzs9MUxWusoJiykkfuKviewPjdmHWFcJSWnayS1H1Izmdd4YTkJcfx4n4bwLzT
EF5iL2SFjxcrd++mi3PJFbRFWnKNqH2TfH8zgisg+tZcdljHX2EXUlKRBg+N91nDMmTnP10kqdec
cp3kl5V8yYoHwfmKQ8AuiEFkBc8eXL+xAeFVEISm0nIhy4RsqnkiK5i8tOj4IXBbWqQCEUhLTvbN
bVFl5WXFvn2qmywCi/KL/JaZ7e7D4iSpVHtV9lh2ztcJ5WBPlrnKw8nKfucGcUN7iEr9VzjY79y0
WLnxw/ly1Ekz+SlnmXvv77LFdtvY03VaSlp+cE/zF7dZT1HlPORFcxdkba7PKp0kLzvLAv6jKUJj
0as8xWtIh7q8LVoE/6VFQ0jR0iF1QF1W8s3iW+q2rCeSyiJWLS86d5v3Vo2tlhe8f3PpRusMEp/G
wazDq68h/2qRZouGpqqjlq8h/N3iENw3rjGEi2Dgawj/PUnDk6SKJ7dEL0qLLml4R26acFM2rh2I
eEUg73V+4Mc8vz8md3l0El9yEm5prnSaZOU2lRhv2VnfhisskqZXo1UxPWnR6cJrl6yVYTJZwb8t
4pguYbnbchNqPJus+A9+8rB4M8ue3G1VfYms+Iqw7rmNWKOPXucHnm7EEyOe5Ea8Y/UXWbZoaK46
ACg79bvFoelV1iE1Wbkft65/fnjqPJ6s2BeoliQX+VOAZ9Pa3jVET3bSn13undjbNo8mha4iaict
fJFt3zw7eTAOhCql5QfZfUKpesNy06tYm7TsIqHM1DtNUihZQvGiGPBlyc9Fmh6j80/jT6cK4Of+
WTO4Jr5xv1q46a//AQAA//8=</cx:binary>
              </cx:geoCache>
            </cx:geography>
          </cx:layoutPr>
          <cx:valueColors>
            <cx:minColor>
              <a:schemeClr val="accent1">
                <a:lumMod val="40000"/>
                <a:lumOff val="60000"/>
              </a:schemeClr>
            </cx:min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solidFill>
      <a:schemeClr val="bg1"/>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600" b="1">
                <a:solidFill>
                  <a:schemeClr val="tx2"/>
                </a:solidFill>
              </a:rPr>
              <a:t>Sales by State</a:t>
            </a:r>
            <a:endParaRPr lang="en-US" sz="1600" b="1" i="0" u="none" strike="noStrike" baseline="0">
              <a:solidFill>
                <a:schemeClr val="tx2"/>
              </a:solidFill>
              <a:latin typeface="Calibri" panose="020F0502020204030204"/>
            </a:endParaRPr>
          </a:p>
        </cx:rich>
      </cx:tx>
      <cx:spPr>
        <a:solidFill>
          <a:schemeClr val="accent1">
            <a:lumMod val="60000"/>
            <a:lumOff val="40000"/>
          </a:schemeClr>
        </a:solidFill>
      </cx:spPr>
    </cx:title>
    <cx:plotArea>
      <cx:plotAreaRegion>
        <cx:plotSurface>
          <cx:spPr>
            <a:ln>
              <a:noFill/>
            </a:ln>
          </cx:spPr>
        </cx:plotSurface>
        <cx:series layoutId="regionMap" uniqueId="{0AFFEEFF-1527-49BD-857A-63A01264CA24}">
          <cx:tx>
            <cx:txData>
              <cx:f>_xlchart.v5.6</cx:f>
              <cx:v>Count of Order ID</cx:v>
            </cx:txData>
          </cx:tx>
          <cx:dataId val="0"/>
          <cx:layoutPr>
            <cx:regionLabelLayout val="showAll"/>
            <cx:geography viewedRegionType="dataOnly" cultureLanguage="en-US" cultureRegion="US" attribution="Powered by Bing">
              <cx:geoCache provider="{E9337A44-BEBE-4D9F-B70C-5C5E7DAFC167}">
                <cx:binary>1H1rb9w4Eu1fCfL5ykOKD4mLnQVW6m6/YudhOzuTL0LH9ugtStRbv/4euduJrXESL9YXFzaCaXRL
lIo8rGLVqSLnn9fDP66z2615M+RZUf/jevj9bdQ05T9++62+jm7zbX2Qx9dG1/qv5uBa57/pv/6K
r29/uzHbPi7C32xC+W/X0dY0t8Pbf/0TTwtv9Tt9vW1iXXxsb8346bZus6b+ybUnL73Z3uRxsYrr
xsTXDf397eo22/Zbc/v2zW3RxM14OZa3v799dNfbN78tn/W3977JIFrT3qAtUweEuI60mVC7v7dv
Ml2E+8uWIw64dCVn1N1dFvfvPt/maP8cie7k2d7cmNu6RpfuPh+2fCQ/LqzfvrnWbdHM4xZiCH9/
e1XEze3Nm4tm29zWb9/EtfZ3N/h67sTVxV2vf3s88v/65+IHjMPilwfgLAftV5f+ho2vM222N/p+
fF4AG/dAKVcIwm1y90cfY0OJOBDccZlk9y/dgfIcUZ4G5XvLBSj++1cJyr+z7ddtvr0fnhfAxD5w
pOS2bTuPwXDlgcsJYzaxvynSTkl3mDxDkqch+dZwgci/371OREw86eIlEeEHtmK27VK+G/gFMJTS
AyAmlBTyXoseAfNrgX4AzH3DJTBfXiUw781tqIuX0xTODhRzsXYw+U0hHq4s1CYHQrgwYhyIPUTk
15I8Dch9uwUe7z+9Sjx8XRS310183Tb3w/O/my9OD4QjqGBMPLmkODBvzIUu2Yt1/pnSPA3Mo8YL
dPzLV4nOv026LeotnJHdzP3foWH8AC6WSxjde2Lu4wVG2QecKSqgMzvoFgg9R6Kn4fnecoHNv1+n
5pxt63p7HbX1bdO8IEDcPqCOzRyiyM6gLQBysM4QARfAXdizZ8vzNDyL5guMzv79KvXH32bxX9oU
8Ut6As6BLbiUiqonjRul6kACQodyukPwXnv3bvOzZHoapIf9WSDkv06ENghn4psXhMd2D4QSgnK2
Q4fQxwbOhYFzHcZtd3/DIqp5hkBPY/Ot4QKYzev0oA9vtQlfVG/sA8mx6HNFn9Qblx1wzpnDyX7l
WQDzDIGeBuZbwwUwh69TYy5020Rv/K3RWfyiEQ48acIUt+keH4z/Q0/aJfAcAA4inZ1Zk4/t2vPl
ehqmZfsFWhf+q1yBjjOgpOP6fqz+dw+OkwNqcwo+Zh+JqgVO6oByxEPC/c61PYx7niPR0wh9b7nA
5vh1mrjj4ibevqgKqQN4BYq7987zUoXkAYIeR4FIeNK5foZAP0DmvidLYM5fp9Lo/gU9AnjUxOFS
OJzvRn2BimIHc5gqKdlfXxi2419I8wNI7lot8XidS84p7Ed7nY4vZ8SYcyBsx3al2POYiyjHFdAU
x3EY3XtpizD0ORI9jcv3lgtsTv98lbryTrdx/cJmjBwoMGZEyv1Kv1hhFIUnQF2QofsQld9PjF2E
8yyRnkbnQdMFPO9eh+pc/zSl9JDFeXTnf59PAwUAiwae4O5vadKQb5s9BLhzO19tgdAi0/VjsZ5G
adH8UU9eRxrtLL6O4nD7kkQ0iDWHO8px90rzd4vmMKKw+D/tPj9HoqfR+N5yoTJnx6/Sop1tzZht
i5t7o/K/u8wMKU4sN0g+P3aVHXngEIq8zr2aQI0eusrPkeQHmHzrwxKT1avE5H0Uv2DKGSEMB8VM
FVjOu7+lriA/QBQDS/PdvD3E5VfSPI3JrtUCj/dHrxKPsxhpm1o3L+kmywMGbgbs/55/oY+VRfED
qkCaIQm60JLnyPI0JA+6scDl7HVGLue3/Zuz2yG+fkFtQcoGpAwDn7zLLJPFYk+JPKDEZQrczGNk
nifN09A8bLvA5vzslepMXcf4V5bx/TC9wNICU2WjtOkb2bJYYlwkA4S0UVyzD/kXweXZLNGvhXoa
o0eNFyCdXbxakHRrXhIh94BJB4wM3/OaMF8Pec0544lA06H23jFbhJrzIP9Koh/Ds2u5xOZ1ljmd
6aJ5Ub6MOwdIZM5+wNPMDCXQHi6oLdkigHmGKD/A5L4PS0guX6W6nN9+Nds6fUk3ALUbyF0yx9mv
Nkt1UQfgBhwbpZy70HNh0J4j0dPQfG+5wOZ8/Uqx6bYvmdlEES0TknOBMPIpr5lSibVGoDDA3Xlw
f/MGfiXPj3DZtVui8vmVotK/OdrmZR3FL1nhjDo06QoQZvdqsXDSULYhoFI2qjp2arNwomd361li
/QijR82XUL3OIGcek5NbU9+OL+evzdkzeMpKsKe9AYcfSDhzKLbf6ZhaLDzPk+nHIN33Z4nQyatU
ps8xagReuroG672r4LI9aeQc90AiQBWK7K8vKJvnSPQ0Ot9bLrD5/O9Xic3l7UwR1Le3L6c8TKD6
HAkbsl9gyMI3QHU648yeq592Rm6xAj1LpKfRedB0Ac/l62UK/tQmfTl0kOcEk2nzeXfA3d9yCRIH
CEQJFql9UuBvnlv/5lcSPQ3ObBR3LRfYnP/5KlXnXJv/NyU22EnDwGt+8+AWmwgclG64cOCk3Pve
S4SeLdcPcFq0X6Llv0q0Lm+HF62QptiLxlyOQqdvRuwRXwA3HCqmHOd76vohOf1LcZ7GZt9sAcnl
H68Skvdpto30i+6Iguq4jKOMYwfKsqxToaAAHCghzt4vAA/3EJXnSPQ0MN9bLrB5f/oqsfkAv6Ae
s277on4b/GpXoSh6nzsgS3wc58Blrgut+R68PsTnuVI9jdHj1gucPrxO/+1ThF2nb47rl02FYmuO
tF1bif1GW7VIvc1xKoV7N29lu/tb+NfPleppnB63XuD06fhV6tNVs43ubc0L5BOwumD3B5iCvaFb
uNh3+wwd1N7YcuEc/EqOpxHZtVogcfU6ydD/bEHqFGHzovsLHaSqKUpt3P26snDZdvsLUdh+n15Y
hDzPk+lpbB62XSD0n9dp0/4T19e6qOOXrbtBmRP4HLlfWLDwP3TXkIBz4K0JoZ7e7/EskX6Az/fe
LOH5/2TKfnzwwLfTGVbbZru+O9bhwdkDP79613scNrFo+ma3fj9p83aXjm9+f2ujhBM27NtxEfND
9i131YJz8Pg4Zf6g2e22bn5/a1HCcIAEnD9ETyhL5AS2r7/dX0Kt24w+x25S5SDZ+vZNMcc5OHUC
6SXklxzl2nSuJeXg8pDKu7tEYWYVlS6bi1BsFMx/O1Ljg85GbFH+NiT772+KNv+g46Kpf38r8KBy
d9ssq8DMw+tRcM9R1CKV4ATXr7efYIxwN/0/VcKzqQ+L5J2x23jccs1F7RXcafiaRMoqlMd60yfj
Ucx0nVvH2o5KYXwlnOJI9zE5lFY93hgWtrlvkVL4QzJ20+lQSOe2MpmziqUjzVQdFU0o01p6adaP
/MKqo8ltQ69rbbusbzKnMJlHxtB1xDqdpiRS70lsNc7HTrcdZetSNqYcL1hhgsaXfdeQPzPWZ/Ho
TdyyW99EmhT5SexavT+4juXZXS7GKfXCSaRD9E52RVW6F5HtTLpP/Nkft9c0581kvKQo8/qyRlEi
XbsJZxn5T1w5zdQeFmXn2rlfk7wgpzGN03Y9keo6smqzcapy/CDsrHD8aewTNJWjNX0pC+LEqELA
rNpP+UeoXetyNHEY7c9C+fb1X5c6x7+7Nt9/nI9S+f4N1XS7M1h+ehf2FM2zt17eNEvz7VnfTwKZ
J/03URdqtDu15Qc69tOLjxTwURHmvT9yp0nztP+x+i1qOR8o7txur39SHiiHMdTQAz/UCH3XP1B9
cBiR1gBlK7At0oU/uVc/uJIMu+5Rhbrf6b3XPYpqPGYj66soEo0KOyX/G91jcEgf6N78RqzBSsLK
OBJHAdgQ4KHuZTQxBe1TcevSoGnV2i55aWU+Kbt4+ixEW6ZbbhlRb4pqrEe+auxBRINv6YB8DQvD
C8vX9pA6JyoSY7tKoa7VUa/yrD7LRF5ao6fTQZRfRdokg15ZUmYJ80PH4fTWGfTYfsqiwcm2rivK
4JrlrJLnoYyrknk5jWuIwqHr+fuIkqYvVmEmTFp6uhd5/o46YwWRwzyn46mdsyL5y6o7jTYPIH3C
QMFJeTRGSHjYXCF5OIdoGK7Zfj2wTw7N4zaSkXsb9LpIqqMm5xk/ynhXG+doqsMm7v0pLrGZNiNB
bAebn7+ewuA/fv9cYMFATaJKCfss1Hz9wfunhLm1JDK+SWjK0thvNBMs8pSyrSrZmKEPTbMyURPy
yLO4NZXFh56zsbZ9yifZs5NGRkWdelpXzNBzRDcVrv1cSBue2kMhXS5c18bElIJjWUBF1WMhK1bk
k04K+8ptIlaVm6YMyzo+bCzWNoHHYHGmz+BXR0I3QTRYMKFgwseq8kxZYR+/FVGASAcx/6SrFFn7
TCUOP4r7bMBP1dhreR5UA+6KI1bjMWOYy3qTWo5hm9I1Hav9sS9KPa5+0bUF/uiaotjyihIXpE74
vNo9Gv9mSKmTtXq8YmGX9qnXmEp2n6ZsivV1Q9zULryx0dX02bELq0u93NI0N0eDzLNwXE+5pE24
Ucxq+yvohcFw9E7CaHHCuglztogtNXSHvM9KXKrbWKLXdtkDo0blEV4YNwHBN2gYxVDkIcdQNI0T
WY0vsjaZei9SdoJvu/EJ40HPRQ/fzNoTOoAynsfwSrB23LGFC6NDYCwejwHtJy5HWVmXXe5op9ro
KXaycztyhy71YVeisPjVjJof+d0t4C54RI58sE1gAhFRL9WOJDrgshycy7qlmCHNiJME4sNqajA+
PCm5Fuugt/RQezJjIwY864Ii3ebYyIRR6s2QNR8cWbtBsgka7nafGint7pOB/5tuh9wS+GUoanm+
hy2s+gJDOWRuAesz1WSGI0yHGQgriSk+1Jio7hPRuYYkIk0xp1PZzFbq56PNFftb5+GMwQHAflJE
UDDzj8ebCau2QjKMl1E0yizwmjZlpR/0JEjOpT1xM66ryMjS9ZRtqyTyjKni6oRkLRuEV+ZRZZ2a
MLf4WZBHDvOrXg/hNYkzctQHLZer1Cl0dsOTbDKfci1znKM20ax/zztKhmnlJoUSpV9xxut20/fC
7c5NFQWD9mROcvqOEUPVqiiMon4yNK0JPD241ZR4UdEZPvjhkHZQhm4y/Zh5gyUSnmyUTVt+IbNm
5KFPBtr27WGp+ogGaz0GYXPcRA7BcDpT1k8TjBqmYnk8pGPQelVdJnLTKSdkK5Fbw3TZS23Hn1ue
hcGK8cam/ojsjR49GTa1WqnY7lM/FFl4hDMjmlWlST+dBqog5JD2NLI3oVW7EVmXqc751Si6MLWu
lCbDcDk0A2vOrLoprE+EB057I4yU5mpyurDQXqk1jeqPapiy9DCIsbZtJs3dXHsq1cyOfMdMdeV+
pXniFjeRXepuWGGqjNWtapu+Jz580JomR01QVMJdtSkRmTwMciuV54o6VpoedrK06yy6jdyCNRjl
gTLX8LOJ6Q5TeqKmLqOPcO0bSdZFwcvSOW5VEEfZu0IMaRWuky5s+u5dL4IwjjcBz/tWfAoKm1XH
MuFR6G4wVyRLvbKbiDJ+Vrtxr7zQ4rJqVlFgpmQ87sPaiuLDPs4Hqf1U9RwGtivjVvyhrVaK+hiT
o7cCv2d5jdWlLYcED2lG5g7yfWY7Dj6a3Y9WHGe4huJ1jtdNuubV16mtlN2dJNKUoX1EB8tyHH9M
RNo6h0OR0DzzBO+ssfeIsGJ0J2QCi8p2CEbEtH4iIiXC92Nf9qXzIQmspM82TsosuzxO21G53XuZ
MBErr1IqhOFyTCOi9LMTBoE1nXKe1Rgpa6xgss9gtatInFosME72jsZVTLMPSdInbrDuExiCcK1j
FEgYHyZrFmnsrAxOPAmjMa5WpEwT466Khlii+MMO7QLvy5NMqas2dKvKN9JxMLK228ZYQXwqo/kh
kJ8h8qgqNRB7xaMavffLiBZMbpKon0eMZU2KD11HjXVR5M5s8nnXIFTxVd9oTICpAOd12CiT475y
19WoEROGr0oQ3jlYS+oAb8si2uEZNJ7hoSWPbPEfmg3zOBdcJfAkrNYygMIqUjfit1UF5rramDjG
jkO/d+noVH7sRqK1gCBvq/ZzkxRtXGC8rGjSh1E7cTqcuYkzixwD6XK6kJhZeAPDpeprYA3zBJPG
mpEXo4XfMpXPQ9N1iDpjLLFu1UOGDmwI+rjvjzGMVV/hbkX4TQyllhep4IFiPu/ViMeXTkQxFvvZ
E0y1wiOdxJo7FzTj3WC0mDXGt2snBThKTGL+xmqRnjESG+tiP9TW7vb7Qd7dJ5PRTs8cu8whAC2s
qPuaxrKMzWFcsBGdruwJx1d6oc3CmFwgGA+18sQOKD11DaZa3YytCY8LqsZAeDSNulG+V3mrMUqd
nWe4xS6xC8r4iBmCTnkpQlLAHebYDAoddUJSfVW7EdQlNAh2bdenyI7bsfJLXcieHo2tG6EZ2UG7
mx4ySDOMj+QxWqyFk82dH+QYYShCaubXRDyS+HHUFXGiq8mKeducoKdsHt7dRJrasYWU6OT8FBqb
Gu3AATLMrrqJZtF3A2pN/YQvOmOaO2uLiCJNjidbOEN5GBJho3Uftxo6rZIQk7Kse+Abd45dfaUy
LDB9auHmc+dNF2C61ohk5gfa3fzBu9DFR1aQWR3ySczyF60Mo/6qzcIsjDdF6OK5UcVoyI7SenRo
c8p2cyVOatU4h/shV0lnIM4QsxQPwQqg8fKkjFOs8x2tJkmu4LklbrcqK6spYp/UYYCXiyTCATqr
JiuD5jjrq4oRDzBF7bGjw1mdW6yv+C0dW5m4mxTO4jCeMFVngz5quCZ57meKZ3nnBXVoNcdU0Rb3
R01V4wNOo8jO86rFf8e8d+QXQXoqLK9CJJedd2kTIBDoTYK30yjU3WdZBIOVr4Nxmud+r2DKk83A
KhsWxjVR1rrrLMcSm68HqwhUfQxWyEzDn0QOCexNmGmdpkf7YCJpssgkmzbKCl1ej7xG9cRRmUQY
jkN2pzOVdsHdeHXQp8H0mUWu7purivVRL4+aXdcHFdYYIlYOU4oepWFfi7WcCIWVawyfh48O5Txr
iFTzFEcYioFw67THCNDWnvvbxLGND4MJjvurGCdyWl6cTVJ+wZkcKSgiE8WjzM9YSQ3ukCOd9bsT
bY15RVCyVnkTFZkJNm1RmcA+DoNqwjOmoYev5QXYD5pbR5XgqRoPA5oK+SXPx1QXfpNl2ShO81TO
+tTwPkYIFqZuA1PJZDBizatHWJpkg+h/Hrw2ZhTja7duikgsyYoQzbFpD738s4d7FlgnfVAbE58r
lswxm26x3J05acBk85GPVT4G6yFIrDHayL4UWb0qtEUl9xwauPILDxlFd7AYKoA/WXxCr2SRz8tG
LoJ5uhnbUEy+3UgmjYarzmISs+6kn0QeOB/Tqe2tCwNnuubrqayU/AJ7i/ll9eWEEUg4mfsQlIUF
4z/lZh7ALIa/Cs9a5bovv0g1RhX9yodMZudSgooKNtzWdWP91cc0GYI1VjSWCa/OWFpZvptRx3xW
Lu/T5pKEVRKGfiBGFg2fege+TXWjurir7D/rwK0NOTRp2+XKt+ypTj9PvLW59lqsDkPnNZRq+JSO
I1RLW8zyPFG23+FHy+k8pwcvMaz2PdlhWZXJhOFB/e84d+vO3GRZN9s/NYazNYH3PytvXOfzHcVd
eBMk9vyboMTCHWM4zjcGrBW4o2uLZr4/C0qocghvMTifmpGW6wSKOmulyucr+ykLnxKWCJTlfKmG
HyC/zObUCn0zjIY5HrUNcT+0kRP22utJwQH0OAXKPu6rYtby0Jo4Rr8GS4APDresOa4mgvnNiQWA
CXCDXGkMnunL/kXCKCxpFaaKdbGL2Io4mZx05htb/jHdGaw0a+cnV6hcx2ywssqaZTTScL7Kw7zS
gRdVsrUu2liU6HPTg8PpTmI7nN24iA94h9Nls1jtncJZOsU64gWinZW8tGeSaVX0wzwnnWCy09gT
UV3k+TpKMmjjZjcgtnRmo5fieBY8l9fUSk4jm2WOixL3nwWzi4Ae+/BgHzCD7yhvKuUioI8aVLAM
aWlfRFpLSO2E4QBt6DXMbGXxWYOyLp21q4urWfafv37mix4EtvPrwcKjFmM+aUtCcR/HdqYdtNXX
jrzYm8YE5mkef+FCk37+KqRvHr+KE2wCxbtQ947/yjmsf0Ad9W5auQFcyfs5QtJBa78qA87fYzf2
PLuVjGZQ2zgBwpobDsj2xvHnsjymEJCQxfxxcaylK0GGYp4vQtqgY/bYQPUusKEFZiwWdPbH6xrn
ja0nDdf5V+P89xeixmhOd7jKRkZYLTiLNDKEZjkJPlVIBcgvYYoV/9gZU+jeXrN/3kE6Jyq+Azv3
cN5zK7AZCjkTwtnihUOW8LBoMvlpbzF6JBgwiUbJRiE2A6/dbpOUwWQ+tj0bk1XeFrM9Zwamwaon
joXoFxI9numQCKHUfNoE0jgCex/cRWplVMTqnZFVn7KdUvXw66DjQ5sGsOux28WAIOLtCM1UDIsD
XAsrmgVJSla1k99ViOw3ImdaEG+AaRl9mPoKt0M/Anoej0jIV35vmllryp2Z/XknFjyQgyQUOgF2
ei69/DsVMkSxZUeGWTfSMh1eHE7OPHEyl88GuDCgdb6kgsAF+vl7H48dgMRrFSgv1BLY0NklBVO2
o3a0xdybELEFskYdKbP6j4gHdhF6fRK38fsiwBn1jRdFGtHXL7BbqC5eDzUA2Wgr4IajrBeTKRRd
bJEhYjcw7lBUX/REiu1uSd/Z8tiimp5hcR3bi7QmZILVjuIMg/LzgXisR/OMtpGix5mm815MWywV
t5ExSca0CK4DNRXCHOqqzINxbQV5DVdhdM3s6P78lX/vPPbhzDYSh6TMx6ot5m3kREGWjMTccNkj
gbAZqZxouhGmbzF9YxfM4BfTYtSxIN4tppqMnVHrLtak7H8xEeiCjMMAIEMJ+hM5AIaoa6lFoYLv
oMrG+opdMQ7cxKGJZr8tH3SEU/DbPuET9+O8Hu3SGxRY8soTMYnai7xEyOgXFjXFBajcHCauEtrY
n/IuLuqvPx+zedX6bn24g0ILAm4TO/4cpIdwwNljW9/2gWtINQ1fh50yEpBKGCyy83AHw+YQy05n
m180vZ4/4jJs/9vBwkYqnBeF2BauHOPImjwWw61shLi11F+LTFhIDyVIjMBx7kbSwA9mgUBKqQ5b
MLp5IgpwfabMDRVHrpXM5HkVIZEzJ5XG2d0u4inrTjkWa53/gmOlyzkGWpVJB06FawPhv3kBA0Oy
QBUT+1oHtoTnlDR1mbUf4BPHZeH31VhBOMvJO1zT8MrBe7npNFoXfVkGx7UyWRL6+TSR8RR0awGy
uFBEIrHRClCYn2SuwilHKKwGMMe2lYxg/OGkZXhqGgdwvX6hpvRxCgYcDhJUOD7Nnks1cJI6XViM
gjRRkAyluiYJ8jT7dcWW6RwrGZbPfErvdkXuk5wb2/Eck4EG8TLEYrXfsGJwrpKewAv4+bzcZ8i+
T0383xFwHBXWYvD4s1HDgeOP5wQhVaGdOKoPzWSTqF7bYpgteYuN363+q54KGANf1yGSHsrLgwk0
jteIsKH5KdxoZEZDX6clKNl3NgcpSD7kgQhDfTTCaRf6PBjilA6jH9gY6j/rqsrBT5jE5kW1zrN2
shufaCLrfOUaAQ78HRuoZvKDGu9WklSCJWDvgyKn1XCWhlGnkMlsOxlTkJUJMmhHYACcOF9lVlJC
h/eRg2OhWeSlO38fobMLxZd3/sWOA0jvRrOPchs+FTib2T/vO9uCCdG2iwC+sFsMN2If2TrnrM7m
KMvaBR0lJhZwI6VLp9hL6yank1fURhXxSpZOlrTePRdZwZ+NvH2EcRfaIFvaY3ynyp29a6fqQPki
6E+lvS5djVfmKcL97oT0dhCHfjbk2GR/iERblmRXDPGoYudybBQvjxNJrJmlqzuDaTzuCBLVjzWr
VlHa5siHgBp1kP7zkqhxdeBbrQ57knsVKlqF/UFVqnT6dVihaLK6FKPqJn2JROBsDBGcEVue66ZG
du8yLpEGCleY5zDFm8hUlCZ+ThEN/jWCE6rdEyGH3v5CxTA27jn47KD8WCiVpPY6KWqLgKLCuVxD
46PABXZoXegR2K76wZ7M6BELlGHnI2ZCMYo/8jHo36WqburJgyr3MWgu5RrLH+KI1IecZE3/VZI8
HaNVwBEJF17uFLn5owAlarWeCzuIMGUfG1ewJaF85+ZwqJJNEWUSFSH7AAgZqTmAG4tm9gZ3UyO7
C9MKJ0vBpRgFb6L0OkNkTj1Th9qBGHaa2l6fWp26hEHX7kVZKCvb5LEIhReFYX8hxlgkqzHug8OY
d+woJmw6zs3QHYFi1J8cI21/UCI6d+ImI0jmdOYywKQ+4qHQtQfti74mpsz+CEmsV4OiAUiijDWH
YKHA9dqFOHVL8kWnUMeiL+U72cflyuFRBHSJZTaJM/B1ouP2/ZRkDVkjXG7W7khYhhkr8+uobC9Q
PlSeGm6Fp3lXN2tRIzeERTw8QlmNWkWqdz86ZVTBJpbxTVxXwSqLytAbeVGsRKCqE3ey880YFIHx
ilJwPNodC58nhbPp8chjF0TJVzPo9hBrRnBTqTQ7TAeaTd6oErGJEqIvSo6kmZeBO609i+nwqh8m
d5tZhQDH1uaXvWvHa2I35IQTFcWetiz2joM/35imxkaxxAk+gtWP4es1TN1Q5GBBNNCSfursJIo3
5VhYa1rnzae642ACYQpW9Ti0J6w2Y+qJvHf9wFFB5P4Rd7Yaj+FqtNe1zVG0o9uyAf8Q59HodTiY
9NZthJOvrMAyJ7kSWqw4bZKPQ8dSEBi5PhV1Qys/cCO9JUldvhtwQMBpLek8QwMRlyAHuv5kQJx5
Rpy0O0ZayjqJUxbZKxfW74b2PSu8aXJpBD6rtP7sy6q/rSxr8O2YTtu6TrTtqaBEVcc01Zi5UVZm
HrxN067KqU+HE9mGVegRWsbnI3VgiMF1+F3PMnaCYs+sPDFDZTZ22dqnIssHDymYz6Ifr0kbBOec
Qn26um1W4PxJ7IVD3jkrMWq2RtFXcV5G3Pw5lgOCJWK3TVh7bZoOaeo7cShKz2oZ33ZtpT2G0qdD
Df/Gs0nefBxokX6so7FJ/bRpwqsqGqs/zFDmtlcN7eAH1JSJl0A+5lEXZDgUb4gmnw9u/0HZdZT5
xdQl2yQvJw/Z1/wzzqatENR09KNCdu+4tI3rt4YEJzwu+LZ25fAumajpkA/kLV4aNF7QWhWoojZ8
J11Lx15GU7U1FqL0lYvAKfFEUlcfZC/TDQy9lL6KJ+eooTr6AB+nWoM7NVe2LsrDrh3oYVJ2cmtY
cNWDwLqaqnxyD6uSj15S5eHtiAE5jBqnbdeIz8aLxigReIZXKKVIw8YjUdcdS5WWhxUCROqFTq2u
VNGor2wo2WViAv21m7rptsUEX3WOts94kLBDgpViVQ1Vc4HAz/JEX3TvLFOnXyaii0OW0QBeLfI8
59FIONayARaJJKh8w6qdyiMHGVO/rIvkMBWtuYJfzCB/Z59QUrBNIln9Jwjz6oMqInNEx0xd5LmZ
TsM6qdaDA5MLfiqPzwtOmhPT8v5DUQfm0rguv2ZpB+NgV2N3zsccygOy+T1lTXs6GKc/jvuBaRCq
bnEYyJyvwFuh8AV8pDqe/i9757YsqY1t7SdiB2fBLZDndT7VWnWjqFVlC5BAB5AQPP0/0tX9u129
wx19vx0ddnTYWZlkImnOMb4xCQy9obQ1j1tctK8FNM0PvRXzCw58dsRiI7dbFMyo//JuL0qa3QA9
iZJ6HkrRFNs6JrjfzbjfWCAfOLyxB+al0nWpRLg3S68/1GxTBtVr225MmdoLijzAf8EgX1iylQP2
7MHvEsKLYwQzvnZqS+8LxxJYZib4EdAY9fvNmqVbV9br4KEyNMTCaypueJY4Mu9CJCLFXIlS0Zsl
UOwB8qe4C9J1fBOz+YbXMDgwXfQ2Dahgekv6O1/2aF0zFXXnUqr4qw2oXWrRLuHt6oh97WLn9KGN
RZLWZRuRS0qlKfYlcMPyPLSFagBYpFvlAKI0RbkNpOq3uXTVkNDxTgZTGF3WQBN813m4zOZGlw4O
bORNtJzGVA/3iU+DRzKWnapzD0Zy15bKPPWsc8MOLMbaXoaOy64JzJihm6Q0Cg7ETdP2tBajse3h
WnqETak9Hu7F8a3JhfEzR7dqRB0RVC51NljqbiFj9lOd2Ii9LEAs11qGIr9Bq0OjZolQIl5mNLjz
W9ZBljHYR4yasxyFExsDRo9uzsk5i3049i9bstLYVavXYWnPMTa78FSksOoOWqyjaVo3Zfa5DBjv
qyVmojSVCSgTvA7S0j93SVDmVdym4lGuUbAdFihAID6JjsObpez9WMcGBtstEdhOGzQXWyMhOZ/7
eO5qBIT5eQ5WP/X3Yg3yckvw9Y+hHxoIqANHk7SqOBvu5znti7lZ8z4XMZyvSWI9FOAOahut8bBL
IyvaG94Cm6iGEf5Lvc1ej1UyrNtzTmzPj2OXZnLH4ODf8g7+RdP7zh8ThgnaTV6ELUF73ZvoxJlR
4ARsRtYqXoCl5HM83wVZ6Uk99DSdKpLyBBo5xPS3SAXmhytRmiQAZuODlBT4LHNtbOMaJVwbyBrQ
jJ3ypSJt/rQGqSQozGyxdqLGTjrjP5Bh0GFSGDYhXeS7VglVZUxHvtzxgUSk3anYyyy7jQKX21dQ
FgM99rpIvzHnvm5by15Zq76yUmV9hTZheF4W0u9oQc0hxOERYpPIDXxpsl3EGos7k3R271pT1kqr
TVUELa6qhiEbns0o8saYfK1s0aXYX908fJ8Z3fZECvjrzNNbWP9FWEd+WnSz4bBJH8qpTZ5JZoxp
OgcRFvcDbpjKs275EUnFH5Uep2I3EcJuJjnKZ6unme2sZ46eYOcwUgWDL0+D7HUTj1rsuabZ88jD
aFfOrbxwmgW3MffpJVagCSSbQJWUaIuaOKYIsFliD5uPY0DNBIdwE5ZOTzsV5fJu4sUyn5RZaFVO
S+hrzVlfp/nkVFVGA0X/PQSjPU05Lm63wn163iieREEBpOhDD+O7MViUS7Wt3NzhlMfh3+VcNF2P
+gIfgT7h1On2lpR5bUfVvvUdi75CEvd70HTlQYblsCeK9A9BH5raDXn7Dnj6VfQhnA40bnsS0/5D
LvEsqyyR8iMJqTnbOKG+osb3Rd3BtThTFeOiWQjrqfOuRv4+ue/RlpzdEnXfeZuQr5yy6J1HyXLj
gFQ0mdLylMDLeYMrFvPrnuZVlfShvs0pTVC3YnO83oTp95QPEEnWcbie2j6ePqUrgm4n8g6EAlwe
mZ/GbOxkPZnOzzCBNwkVnwDErhOBfaTKg67PboWa4s+2bWdexQKfoeoFaYua48+toUvjnmhXlZ2G
3MakQQvvhEGtxdl5UHL+otC1tTVXSRJ+xcG7mKoMisUdg5nnzaz64NjpLH69Aj37aHPcVt0aqPss
8/2ndYXC8YDOcy8tZMtK0iy5gaduLmoF7VUZhpLmxk9WffJ49l09Qf93VeeE/z7PK9YKFiX6NKtg
L/xwsJNdBavc7cbeJWdIGAwsY+c3FPMkc79hOqKj+4G08yVd0b9VAcqRuRFUB9ku0AP0knBz2ds8
CfFBlPM1n5KpEWGgwzu7kOgZtndRAtdDDVfl89KKw4Ki6ozdb1x2Xrdtj1KuROkJvCqQd0m7REFt
aQIxZR3CTO2MclBngYrhJqrTdmj7lLs9A0uly4HXPUeRZnbXNtbVdNVdjJo6Gen2Pk525PexjJap
QVdBOba0Mpebqk1kmVgPQRj3Y3qf24QWFY90l3wTyNMGY+2Cwvd0Dyeb+/CWtzKXZY1u26eqsls7
TLYmOHCztWlhLBeislDC0rUZ3UoHflkLCkmnniwaMPUgHEjypPKQyEq7N1bp7p0xnkrWLFgq8DcB
SSODUDmvZT7vGWq18WRbGwy/T3ryLtu1ABOHcZdpmODPNIxhih4UCMZ5bMyaBmH/0FvF8TukAThG
21fWwpxzlTe4/N+GoCQhvsepH9emVK3P3jOTxe3zTxclUFcncBbl1bOII+rVBUnIK1MDkOdqI2Id
buQHS2no8wPU0g3rTUdT2X1YtbRBW43Fsm4BOlvaLzmOCGzH85ttISgUNzMKSn8X9mW4prVlk9X8
sMF2xq+FI6+X/WdS2NENTSZmu46XxOLytgoPKI3jqQaNlgz0OZkz1eW7XOq2S86htXqVAAS7GTUO
egem90oVPfbjYJYNBx54G4OyROmuSuyYa9mhiCrSQzeTYV0V7BEHi6OrwTpasaQ7Nvq0Ezu1AIUr
oR2MsrjZUPoVOxqInMKedrRUtopSXaY7sm5JeoAhP7ypworXANjbXMUSmYAqtVg7O2Bgw49w5Kiy
oBy2hu9kPpVt4wwAMl9tsQYVsOV2/UOhPJcdcw9ZmLkjDJruRoY0qXmc29s+Wtdhp5IBFKUrQWio
QDz3pV/ISaOEI1UyqjWt/Ljw8WDmEHixL9Qywthw/IfaQsqxtaYDrXKco7aZk219mrpg8SgQArFD
BYoOkfYqyw4mT+ehoUPhP4ON+lVVEVt09FTwjmcNnsg7fjcY52yqqXdoDcYtcOhGTB+1O5QTZjra
NuPuBwv8VXFBRR2P9cZbtgc+72iwH2xUgJqLdTnWNEyl3KVrOB2jSZIP4UQKwZLQmMkagmKXoUMl
63Q3FHlomzjM7PwOJgk8E+By4K81YCvtUCBFMYA/iFt3DJ33UKUadfithxPuqyXhZEd4Ls4Bm2Q1
bTaDMA3oVQ1gquLVTk0xZiW84mBuD9B88cMQz4IqAfR61ErovrYQzD43kES4N2j5aINQ4jo3tc8j
5R9W/NhNWtKi3PWAnn4LQBVCPOwVuwmwDU9f0Vwu7SPpB3OtupK4O6KCyc8mJVn3iS0yWQ+JS/sn
uST0Fvwy+8FMhG++WDYPjpRaKCPb1vlKdeHyWvjMPixGtLgEpAuAbZBBYjclQ1t5npVPEeRD0pS9
XE4RRIuuWQCtfVmSFPGOjE/pcUz7HtywyZ41ZXI/x2P4npspqkoCQLg1YntOk2lbK3hH6x2iLnHX
xHZyMMTEqKaq7FzpTiw3wEancQOnzeji8XFLcWWW0A3XaiRrvId1CwACD93rpoa5xGHrDQYKFWZW
BNxvwiaNomBcp9vEKnvD4sgVTZgxRfYglNTL4smMOMA84iqB6ZCvqWkLVg0owO91cK14JwysGCvU
1GtX5ZyWMBa47toGB3oPJBJyycM2QAGotlypfMcdyNcmCYdut2mP17AMnCt4rkE1LlG/L1M77mI6
+XqZs/WDYLdwFz+PRjVCu+Jpysxs8XZZptEQdFCBhljeJoLGl6IVnIDfo+tQmYiWlyBo489VdPzs
AzU9AKLta8CZ8Tc4CnbcjRMp17rLpt7UZEm7tbHL2k+VMMVMd7btCoH91yTi0kfxmu3nfMneAtoq
fwfliicQA+SwVkIN0UdXAkWqBhBSdxLoV7gjC/Jp9VbGBkcmDbNhN0R9+8Izb5Ya5yaqOtTnTZsY
XVy/t/x+SRbI0Eks6V0hhuRdA3+6JujERzIN8t3MUlZIGUN7BOpcFyVzuOWF+WDBEjLUVj6oA1Qe
t8bCGpmgu3wdmQ1OpseibkzHyf1sZ3meM40onyH8BroAOQY0LN6gGHcEtwHLP1W8JTufhtOTM2t8
4hj1HNe9K5ZrtRYOYNpGSDxkmorjlLRj3mxlgMJp6Ep/GLPYiSeEmLrGQNxqDG71tNZJZncoX6LL
uMoW0O4Svbd09e8lnaNKTTaE7Zzx3VAI+jt4/7BJs3R+LVDuH6KURp8S0ZD3EC/JqsDji4uT4N0M
aXHrQd8clJux6gr7DcmB+UHZcKVVMcswwjrYHkoWcFQ0UToccB6YEW3GlDSIIV6gogU3i47Nlx5i
R1N4NCoaMcut8m0k34JCpM99m6RDnULVPyk1RpmsgEDzJPm+Wqj/ZscV9CDziQOKD66B0U1X8o6O
Vg7qyaQTwpb3c99q7PITJlAAGjQasTTQO37tBw2vASSAvE9XMG7rYYn91exNZAgP9BTadui3ExIW
6/xKO79k37MxlfzYy2KY05qmJpyDpnBZuhhsXhyYGRkGgEt9GXV52ICIjTaUjUW4drXhuQn9ya4e
KmaVxz7bp+m4FF/zcby67Fpx4QX2sawNswZ1HgCiJlhzxkCapYAfkRNAGQ/ccUVEDYsG+ZI0A6Pd
KvlbqIOVTA1oERC0u0ktK28Bz3WMA+NTjF7THbgHNWwQ1rMt1I8uKWa0MF3ic2PeZLFQ1zcgJAr0
fRi52vn+ru/lZGUzLXjCbrQLVWIn/Wn55qK1wp+iurVeZIqSrNpUi53hSGEx92UNxfp6JWnOwlIc
WuYd0V9swLY4qzpacPw7hFRI7i/BPKFhvvTrREVe+7AsiNv/vT33V8wBriFBpgzW4ZU2QOT0mlv8
V0QIUlkxh4jv/DZIdTU03E/IK8lGA/d4Im1qwWS60AdIIHU9LLr/8AH+ihdcPwBIGQAGSKHDJYQp
9NcP0GVrTDLWkR/85wcYfqJXAy8F7rhAwhf775xSMB05yoe8zMMoARMFrf2vb4mqdNRudOorgbx+
RdR+EqI4Q7GX1tFGrr4e1skfnMlPOs7+QaUqEJj4V36ZE/AzoHj+M/qQXt/8T7P0+uEQrgZyEEX4
MqBI/fKDQOmecPpJ9VWBaTVQhNGtp7dx1CbrJZlAwGpo805sbwPu8pVUtjWLbmsYqkv+xPRGgyN2
nn57M1eJ5a5AngyGuk/dIMoDt9nVyJYTWjXoSNe27UmZnm9vm8iv4bYQtCvWQgefGla2HMtrAO1n
fK8YvIfLnWRY7giqbSGbi0ah5p72UJM8XsWhbiDlqf94+7Jg13hDIREIQfgQniQ+eReAZRX1rLIB
IawpRyR6XzoTOdQScptvjOHweYQYDELPkOUGf2QpEo4fYzHS9A2l6pVLJQXi4r87uMpIav39cvjr
3fjHt0/QtmEppNcE1q8mOnbHkUXQdL9uEfIs0GvikKCYWWQvxSmxesGi+Pt3/JXbiK+P1kK28BoN
BuX06ztOJpzaZUiWjwRFJ27GxaZXbzT+GVHInYaXD1EefQC0RjtP7Jb8tB7//mNcnx79l/suIci/
ESA+mN8ZI8T5y6LYEshi0C2HtyEdhzmpZmmz4Dc0URrcRosSLtoZSmT34KbiitqrNpOIARRz7GSF
cMgi0PrETF8EKOVnj0xLsVbTEiErORdB2NU627y84CaCxtPDIrg6VTSPrlgEdnT3JF2L4+lEez5f
GQkHpvEeo1yIWquEmwQZyb+/4l8JkCLBwQIwC1eNq02iXykjntN2XPREXgHzhkgSQ6yL10vstut9
mwJHS49ttFzjpx60G/7B5j/ixQEOxeuqsD3882ckE663dKw7eMHHTuHoB0yiESCM9lq4awp2y4CS
rw1dhmuwOVoRangzJNJYRn9/SX/9DdH1XXnHBBMdMKcwiopfoTFIRXqOfeDu2olf97Dtj9CAmrLR
Pq5BYVM8i/DvSNr/7f2yEIjY9a/r4L1fNlLvFWyK0N7h0q/wgmctxLJQgkKWMLLxEKH/7v2wLiPM
V8JJAcgljX7dGxNo+dHouv7uJ8KNQMmVXCRcgCEdJ32tW/7+Da+b7Z+bcYZTCWfEdcI9kvsp0r+/
HE5QKnxnUPkdyRgYntUoX0jyNTeAS/8Trvrvb4WfDidgDpXyeir/su8PNB5Wy3J2/Mn4uQxJQjCX
sb6qkH9c1f9Nc/gP41QimJz/8vv/2zSVP5+y/uckh5+v+ccoh+sDKcC0AW5DcgaDdv8c5RDgCS9g
uTEiADFpsJLZdfbxP0ep5Bivh/AKqqwwRqiZYBkBWvpjlApGs2ChZiW4QoxauQ5g+Ocwi4ef9+Hf
jlIp4r/erwje43/YAEADAnH/t+IBGeA4VbFNT5ko4FVn2ArMOLvDhtD9WTCdHbdAgkmUy7L+AARC
bjKeQk8tomh5ktICBJ9U8E0QASUzS8u7DeGDl7yHfl/lKscEhikld61w09Pau+5lmDLQFtZ1p4Hl
0VepKAJGPenPRZzvwAHqTzf1/dEHhemqrl88JCGrtu/ISgZ1RxkIFep5/Iy9gp/Rto0XShJxsMkE
ZWUeb2UWd3UpKCr9fmjPkZtgK3YDYlNDkCdNHDByRj4KeAIV/l6qQhyUKMqbdWKuh4nj40cf2BIE
DA9vo7WD7YkIiKucTPQ+JpE4RDJm71HZlXdRwB8iDyWNxtELJB7ZRDn0h1FDQa9C7Ny/J+sK6WJY
87qI3BjXZjAzKLIoraIeOxBwSKgcRnT2kIlQ/QBnofeJQcJWd0YcRiv5q077HPukSPuDGnx/BICE
nFa6wJ8ha1TPUWy/yKKjaITb5XGW3fa9XJf1HeJj8siAvhxhJZq7POn9I85yJNGgu+zhDNkLBFf9
OSTWN9DAyV454Q4k4rgM5n2V8lEgULkAhuCp/RGUSdWZbK2TUl1ANJ9SxDJ3FgFxJA7l2EwZvR24
Gk5BEZygWfAGLeP2BQiRPmjtst8ZpCPIe3MHWzVdDohV0lMMxvUB5fMW78ug5+cWfUuwS7beXsAs
9G9s7coPonOcj8hNwr3Jl2flFv1S0rS73cI8vF2mEFK0hR33Ban96aa3oXjGSCB1QDcdl9WCFPcx
84L0GOOTJI/bilk3jKXbfiUEblygCvIEsDWC4DfroummxF25pfChNLhXJJtzWvdbKr5bHF53FANJ
jgB1kks+K3EAsAuduiDdu0YC925kKntEz78dfbtClw5ccomX7Jrqkewe+b3ppd+SsgY/J05DYE9q
pFdPbcyKu1ir+GPEFKVbzVJ+QpRYHfteQHcc4DHtl7TN7oVaLnG7pLgdtTkG4QxFh2FinkVDDPeZ
R7tYUfINjMNvmfbDia0Kzvs6ZCepabonhSqalYzxW5Ly7+uSKIaaOY0/SDG+SJdsb9OkVqiVY/go
2zwfIRsgfYbZAqjArpzzXeuiLKoXhLy+AbHoHwjjGo1pkpTf0Yi2h9HhRWzrxGvRhUPtksDsoBYP
l57hR1ySpDvlFu5ogQjjM0mmGfo8yvlq5tELJs2dGHqSs4RIMiLpUAOiHEZEpnr+iBEi4imj4piv
y3zO6TaeoE+gl1aWQ/8ok49Zlt2JIK22h1ujGzLNcP5G3z+pKUx/2+B+1Anv23prAVhBlObvIBz9
KxlV8KjiQdb4QQmicC0HygIF9iEwfr+IXF+0gexXl+U+m/vhQGGA3kL5EPD2Hx2l7j3AnBeE9ZPo
sQ+RGx0xFmSqxRK6uzF05nsyQ/yladjAOCUHGEZ+50Rkgx3mLBTvM4bSqEqFm+ggVawSUbKV3W+T
5IfAz0A51zUjtXE+v+oAyHoxoPR23CaIj9LaoilL98q2Ne0rwUsIiobB/g2mTlTgJsILgz19u44U
ydsoeO9jboqKMehhnShJhR0grEsz5rUIui9wecOTCKH0ybDXVdxz+SkQY7xQ2ZaPGfTy0zRlfqjA
tMyP3RxwwJdjnUG9/ZaD7Tv0YVY8hCD55lqhCrlzhQzrgg6bqJA/zXegg8q3EqfG3QYo8Isp0u5m
2NzXEkM6jjgRtxpapbubWNrhVlr6m6nPkahcg/JmsKl5mHuqb/tw0ZAsOwFbelA7GU1sH5XwuzbM
+dplk06+8GWIj/mMqzS0kPvW9/FvSIHY2wVc/rc00dfDBTzSezuI7hWDIJyo8o6X+6Qv2QEeHDyV
lS11ENH2IYq6azoP0pBj2j+HFl/92GZbs66z2k0+Li7FVadpvJDtfUL6BTdatADgTTPQYKHdDitL
MJkLpu+Jl5t6FRYAZqT6HeZUbA/cJelOOcRFMBYm3OALBGMKeMHvcy3dXeRYfC4jxr9C2OPNgnqw
chGO2w5L/AIWXR1RBWPOBtem/OB53jXDuITvghp6xM7UnugcN2ucZw+b7YPvCtX5WaHD2gMZmO6j
bhSnLA0QCUVG8FGsS/HKloLu0X6Hz63r4Ds5Aod/BVqyT1pi7syqP0cI+d/DzWL7t2beIDD7lB3A
yEfNhmK8iqfgko1hDBtnhNuNpN91BlNQRaMFwTfwLnxEyW5w9vc9e7EZCpGqt6Bl6jEp50fNtDjK
Fku68opwXm2TgfNEaKF/x4AAfnKijSs0+sFNB3IF5M/w4NzIj3NmP2A/sgp7LVyAAgNDPvmcfwDi
+RZS+zsR2wcUhqcxgqCMwLnC++nhZGAs7IzuXmLN1Fm1hLw4xeM33i/jd0xZ8l8MxQvdiNFx3/Ju
nQ0/K4arsGelJ+3mg8g9SLBblFpQnGHCYUDHroslZtLlsmtvPGLskOK9LR70rNf8fcrp75helxQY
Q7PghwOUGqt9ALqupjI8IDOvtsMAKfK2UzqQHwobKGqv0iH9TPlec4wzOhcBN5AT+xikT8IvEVvH
Mx73RT6yNdNfQ0JZ/0B9Ky6kzSLzAnOppQexcbGNNdATWItoUbP+R9H6KXjNNPXZLmoxFgdAKyCr
kyZd0oxBuB5MKce9y6cvEwKnlfFMNJjNBMuFpV+g9C3HvFOYwzHM9g7/pd+XSGHWwInOnUlvbBnD
XwkDmVUcaNsbDObgiFrkddxasWvRb59xgiB4H3QMdKqIajZG651rmb4z+DXP24wkddst365x67Mp
86Ca0sAeotGv8Omu5Rb0DovRGIm5dN2J0z1Se5g7Iul8BKGc1sg1docJQEm90vRx2Nqp6XXATluK
ITKATOnZDHF3nkNwmJHAQDPAujctzYFLQdT7apNc1LDI1kOnXQcbaSp3ID7pznRC7haaKg/FiuMg
owp8GX7mow1VXM0iHg7ImoW/pxaqd624AqVUQbaIfuTFmBdfptCOZPpuU6J59ko1jPu57rToMEDh
/5q4P0Zr/ocmDqTLVbv6/zLFv3Vx//K0iz/buH+86p99HAY5I2uNeN3Pbuwf4zDL8H8SJFQxP7iI
cFjj7//aw+UIsF6bcwgPiAhAHvtnD5fiid/QB0o0cBizjtzTf9PDwUz5aw93LWMx5w1yQ4TpPSWa
wl9EFeTBg3bJxhPyUFMEEPi67h3oggXF+zwgZFtBAIyXmzle13qY9NpEk08OmGlDjtBeOzCodMIE
AnSJd5NO8xfPQ75DjA/tG8snSIwm2aFf8+8Q47Ru1iRLvpVYo6dYhaK2ZbbUGhG3HaHkB/Ct+YTh
auyQYWInqECu64hyFF7bbA+rC0OAMgnC+RuCTvushXMnxoKLql/le6p08Q1GwnAC17btwy7fWxBv
TQhDoXZoKu8jnOjHEeDfS9wmrgMXns4MDmMu39vI6kPsgu08OQEggkHK+6QF0gKVH+C4V4Nh7FYa
mE+8n4sb32/hk11M3IyCPDoblbdhj9KxGBj7KtrpWvNyd9yIdQ3vNK0ogJqDIXQ8Lh22FJOsj1JJ
gtMjHvd5wDHZE5M/70dSntnIm0x6/hAUNMC5FXPIeAt63SstYLnOnk2YjLtFpyEYpzTFSBM/ney0
BUCLt+ic8jY4i2lUOx7rrW6DfmsmJBNudY6w4w6JkgAo6WJfok6lO8y8IDcQv7NDqqJhj1hFhj91
2h6Vi6db0gW04jZ+yf3gv6/c5jucGTAsCJ8eN2A11YKZYfvcSkxBUH59SruefFrq4bevX+FqT4dI
Jf3RohI5wIugb67o5L7vaf4DbgFfb+0a97cMEn0lCuXbGrr/sCsG4RrM3oGpCkdsr7HhNxjnF+8Q
HY0r6MDgyVZTfgIYW35ny1ru0Xj4otb0CiNBb39M12USN2uvXltMBgCiINdvAdyppBq3LLzF2AB3
gVIcV3II8SN3Jeo/xQoMeItp0bQbL840zMf7JHLyVizRKwYJqhmBjlQfCzTXj17q4IxxWe4+Hkx5
SXWXA4dAr23qDr4BOdoAZ/QeJPsGkA2OKK8365dz3m17zC7EtJ0NOUkQP6qo40izttIyHq6zdHpE
AzCoqYpTG461iO3QIC7tYpw6jDQTRkRCqduGhyDIjmWmedVizsityeNvUmhCbzSIwPaiIvElR4YU
E9eyAw2KKDgBwEKi+CDmpOekcuUylt83DAHpdmgMtvvN+elhsnExfC/HhG436QhFopjta6Z88mAK
uD92h/78JaVTvyuNjXZMgN1eJIkHGEWTWBvV5upJYS4MStludeyImpEjZQCaifsmC/k4tw2m5Upy
HqesmIJmyPo4RO2b43sfAKrvad6PudlJRsOPDW4xEnUqYHd6JQP5gi4h1mY3YT7h4+hLS3+grsex
2W1lhR2uaqM0QBDVymfcuRmvCsw7wtwrk0a89k7ABwjnsv8koCKCYzG6UJ4yKZagkoW1vHEIi4Kr
961Nbxc2lG8DeMlvPEIOH6N61ohh9s0cot+Hif0wziT9sabJzA8x9Q7F9KrJ2LigKzFWKqK03I0Z
skbVJpgBF+3D6CVhG+Kl6MoZtOtFdbBkU7zjzCkCUXE5DS3mYHQ9MGwgFPKeFGss8xpTkNpkvmCQ
WxY2UroA8QoPczkEcXDvXe73sL3xf0MBJcpk+I6BdtP1RSBsdDEoPE3FJTBwRMjKBRNXkvx2LFN9
4l2Jde8z2mRcpJiTaRNyALuEbpy44iBBiD2MsbjZGFJawAYyeePbrL1QBSAG83eQTBYphipUEMqV
biy4p2ru8/hcEHNAJLe/rtUe+xfLux1yYkmwx7zg8Pn/sXdmy3Eb6dZ9IjiQmHF5CjWSxalIUaRu
ECQlYR4TyATw9P8CZfdv+3Sf6L7vG4fDFkkRBSS+Ye+1EaPnO8+SC/JVjfXQM+r61k/H5hIoH+Ck
16lXN48tFOB2eE2la2+Ad4gtOsfkAA2HpmH5bCCqtZfAPvvOO2qdVDneXq8dR/bZfFhrH5IsIt5P
Zh58cdcuxVn7FXPtXMq1h2nWbqY0ZvNK1Wb8say9zoyKH2ZGcuLojI/4p82XwhfZFqtD8KoE7gBq
NXqnfO2ifEZQN45r0Rp3U7Fl259/gyQirty1A3NoxYa1J5s+27PBTkW7QdCKlW3t37wwz9FQhgeJ
jAngXzOcZk9RnPb1cnBhOtPZYKGKUKCqSK89InNf2sV+7RwzRHa70LIRKPSYrPTaYU5rr2mtXWdi
0X+2ayeq1p7UWbtTfMLBvpUFLatgKMTRSB9rf7a08GnaN/DPw43wF/FDjVbDzIIuuBCxOHprZ2xM
/Dxr7ZbbtW/OyW/eMfAtb4u1qx7X/pp+rr+HRBKeA18gs0shbRfpBErTRhxWNO4SuVbpHUsad4R/
2Xlee/l47eoxY4R8E+lRCaxN/7j2/806CZBTylAgW+cD7jopgMDRvwUMDzrpFVt7WoaH/nO04KxT
hiqU4cMKULoW6wwCkB6N9FSZNMyNeUrN5Gu8zixEXZkUDz7Kd2NmovE53DAZc0zrvMNBrXzjZpl5
bX+OQ3j7d9vJsNutI1LGJZMYvsDhZic9yoSe3vGnHbofhpSfw5bONcFkh3gMNnWCI7ir8IV7G+Sz
ImG4YuqARpeHGnX/tokz982acN5MTpovG9/MOQnYTePiYSQGMO3RhgaW8MpLKlDaT9Kb2+zhv/X9
v1PfU9ysCOR/Xd//PVP6k9P964v+KO+h2odsYHxOBvbZ/8Ddh+5vJBxZIbYO/uPv2xnCd9ZlqQdK
FHQSMkN++B+VvbeC89nw8weAu/yHlT2NxF8rexSvPnZXk/UQPBHYtn+r7Hvh5R3svPSKcocZSlkm
HgMV5/NQbT1HvZpJ5WOrcZtLhqX0dtG0wl1QmSKqwzHfifWczgcoBLvemoq79PMg56DOEWX2hylE
7zys5z3nI0e/G0wc0mj9VhhTof39vL4nVKmbs/n58mh4jbTr+8Rv7OBQYX09xNT8B+fzxQM+Nt7K
sfCQYKf9qVjfUKOc4+1qCjVwWjE22eBsta4heetvRYX3fTvRrER2OipsItbAwgEvSNM5jkb6oVF3
me9FsTRvrGyDm6WwcVz0UzDs+AMJ3nhemgX79DsdT0GCMjrEtpwyPzkJ2vxj0VvGh+ad+dNvs/DO
zuvg1MRV/yOZrLiLUqSN9xme48Ng2/3FkY6+oqiivJzZE1eRzdSQktsEGsozjaMIvaiBYek2Mevk
WraL8VF7ST9sRNtYtwjX6xNYzxcVTt2FTb93KNJAfUnbYXgMw4GxaWks/Ttw2OSlB9gasm7DmOl5
Cd78pUYajraK8WvhZ/hTs/6UumHhR5Yl+rdunvQYWY7+6llYLfEelO9lNgzHcMmGvXCy7GMxx/Kc
mf2dsSTuFTI1TLXxsly3cami2vXl3p8CaW17xleY2ObR6jessooXVllMyrhKI9+tMuTekshDsenG
Ud9UHr8opsCNFPEIstM1eGOa6WHq4vKpqZ30awFfs4g0DGSLFQTK68pzc4Ed2WWgyUsUdW7GvXfq
eme8GZ1wkdHYMK3azALzRwoyEkEtYu1IyzrdlouNQBSfmP6Z5RZKMqrWmhO4lMsBkmB9n3kuuynq
yHPSN8vWXeZxgxK6umkHIz9bhi3mqKi0QzHooPLeuE2bPMdsmDwK+MR57yaNzaJoXcwGZc+fas3q
uLQLVbnyoQk0QS1QJ7jhA/V0GunA2LVppaJ0VhBI3VvG5uqj9u3iZPY453SOIHeLOXk+OHU6XdPk
AhnPw6EGDJzHL0blJcZV3FkdxXbti++dNuW4SU09XtSim3in5kK8Dqwsa6Ze3fggaAS+9cgUcIpq
8UaX2atIzQPaeu2XwdGxC83SMAgbqN8zsunKnhxwpSkC6BHj3LOtzPS6M1PnfWS6X+Mr4KaNoDaW
xzapg285eiZ2tdNsnqawCJ8wATWMd3H0InFnU1uib5TNPkjr6s1N0vBLnznvBnUu2s7evhGjN/9w
W4bA3BOiqVePXP2SJ6MUUdnng8+HVfevlNUoU2c/b9F7Nli3DTVW2H3d8JxauJ/aoX8QMggddp08
z72J9hk0kLML8DhG1fqqXRQqekwxGZDbkBgLPXRXRSNwXZqSV7Od5gHXgcUoexBONNpxPzLC1jwg
+M8uDALcQ5NBMNsa4RA7eMV789Uq0nC3OBymyjLbOQrrKssPPrs8lmV2d1s4qy4+bOzh0mPe48L6
Vf61yPJu3nRisDWHWTye4mSqg3Uf035T/tz2R8cI5BH3JwYn15zlnSN746Nx/Yr9tcjV/dzNBofL
kkLlNXL8n6HjqL0RpN03T8+46XGRvcIwEDe2zOJqN2iJGsp25z6OQvxKd+kcxrjPrLbaeqmOT6ll
aID9ZvsIp6yFNBNqmoQ+i6qyQIVb+1dOOwPIrevyIUxluVVJFp/ygmOzwWlyQJz+lNTueGCwHm8y
22EBii8NLwFzjDoKB+XtOsje39F5TeALhddtG9AHmIpTZW1KM8jv6IVKNV47ZefVQ+T0tEJfF4N2
8jj7DsbDlwCeBlAKaFxiGF7GccaiGk8MRECQe3ci1/EeW1l/gXxvXvCxJhil0Vz7cHNOKtHPLlCH
S8fE6zIKNh0bM8vjZ9179QuLxYDG1q81S+OkeGaWanFIMRG5BOB47s1xqu4xJgGMg4QbDVnh3IZJ
JaNGLdA/3B63u+Btxyp2zm5HC+9UF4Di2KJLr27xE/HX9QpjL7D3cWFKo+VRDy0W9730zp3gr79M
g3XjupjBcJcN8aMT9N4pzwr9lIxG0G2Yo6c/bLRhd/iFx4pog645z+YcMyFv28eFe/yU8It/tFm3
nPTcu4dp6Mb9BGn0W+EQfxEtnbEcE1HO+9yZrbViHXeIwMZdgY9AbUfoC9fWsPinNEubqNL5fVeO
/cbtsDXGTSkdDtkivuglPjVebt1AvcADUy8Oo3oGIPeg0UB1cz2f+mYSzKAW/PWO4R/yrjfuikIp
e2exwH4owyX9zn49O2aTQaPdd1PLzwHRdDUv/vxA5a0P4RyGJyVG+QwngH2MwHPE84QPFiVDv7GR
C1d8RAlTu2WezS0caKyTox12D6BbmYjInN04qYZil8LDwp5bOndjUcU3ix9OJ8mLMdu0lr6tw+DD
bLLwQ0isBRtXut1LxrLhm6nj4iQboz3UdmoEGBM5arj9Ul7STslQDJWYv89UXtzHISVIiwpxWwzC
e7WaLLiz8G7uhnQ9NDGdWOjwtHaXHSo/q3ms5/AlQ/jAiZ0GaXvN2mcUkVmTZRCpSoevzCqKR9om
Ca4BeYo8IuDpIMZ6EJUwPYvOPFvekPEeC0VtYkBko9FGvPi58o21zI99lwBVsYOZNZuHHiP0/Cit
61V/kOiHRVhNfj3AYKqO42CkL24Lp/zNIiaojuBMs2/q9dKzfCp+raKEgCE6HJpfaypuWYullf9r
hdWxzaLsnb4WhVF/5GqynsNh9J+YYbVXHXuwbl2Ika5SnXzMkREj0Cry2Zt57M84AH867NNy9mr+
umCzP3dtzrp2k+zffLQcR88PyvtOlDvtVMaZD8eCJ8ziri6G7qe9uAp/Tdux2dOdHazb2Kw89s08
PNiuLuZoHJ2Unq/Hn/wUeGO/qxZreUgX6h2Epp+rxP92T/9O9yRMk33Cv26e/qd8e3/7/9mya+/0
60v+aJ0cokgDUk5oeQIEln9SuAXBbw4zNZv1s8XhjRDzHz0U2eY8aS4LEJNxDuAjOp8/eijzN8vC
OoPK3mMfh4fmP9qO/LWDYpDircpsgUR57dX+vhvJRWs50naMY2gY9PxZPi/HMXTk05+uye/Cur9k
kv2TH8PWAocvW2voi39r1BYheyLE2GpC5RRPxENgBxvN4K7S0OB+7fHIsiL17Z/8rL/q/dHQuSi/
hU3CjB2i+nTXddCfGK18FrkMlR0fZ9GEd6bXqxvgboB0FnO6b72KudH//cux0vpfv56/Rgm5Jgsw
Yfsma64//0gcBm4nfPQEGfUIo9WuGc7AfRLQKeBKXM5sHT6bAUaFvTliycNuC47x4OHHrw+dm4yR
qxQt3TjVmJvyrD+GzUThP4e9+V6jmAUDIsMDvsHwwBmWHWgNrQg0eX0196J6KAusCKXRD1/E4NVX
KIZYlccgX+J5yJjP5S7A8KROD3OHnStLJGkng6weLGDXP4BlLc9p4fTPfpvcmOOc7Sik6wgRoHlc
aFBuHAdRRZTm9vhgybH6udhLc7fYOv9CH5ZvmCmWe7dLa4x2dAJjU+uj2cT4FpbOOgSMn3kfzprN
OWQABvPy2hdDc4sdlK011qo3s0yMY+mtqIfe0MduxlOEeCGM0QUaVvMhA9KpvKWawAYt6Yh2ULMv
p7Tdm9LqX7PCCDWdctr7EkPprBMtX0PXcmd5Tus23/tsnCAQxtznkZlCtNyYdlW/j73fvuZESXzN
w8K6hLiHaGhMGX7PA7JRNjDUfRBQ1twUUOSyaY/OCdcdg430vUjLwI2gFpV3zKMDWCw4ps7raX89
4/5+DuYFyX2c9cAjVohTvoBdYm/k3kEzvzAtNNFp5vMlBRW+k8LsX8kBUvtmMod9oDzD3UyEyHzv
qyo9pHX6Mfd5u03gMF8nYTBiD17ctNpJLk5ax+VNV1ZoCW3LeKAbXM7mAvN7IydRQL5QpsF6Lo/N
jdEAt/Yy94TayjkqXcudPWfF2aQ7+Z5Ib3gvxJyXuyVZvHpnDFl4xSWQRJd4H91QRhpcwm1dshpA
hPDdtCeNi9G5jg2kZEWRfAkl3rwuRveHahCxPLwNTIm6hj7JGo8sFW/jt8N1bvQOjvwhgX1LmfwG
tDTmD/vf7Hi0t2njzVCLvO4S69I6e6m8dyetxSYIfIdbm6dnwnMIp9WhUBXqx1T5xt7tjeGmsOrl
fWALFvHJuu8tjKs7NgywdZdhuHTuYEQw4y5w1LPd6C4vBrLIW2tJrZ01L/LW8Jdlp0M0lDXToQjb
itrPlfNQ6+qrb8eNdcxQgCkHUYdKZ2YbGbV7rEYsa94IALDczEFLlb3InIVoUhVw+a1xLqKZBmA5
B7qcp1MZmvBvI6QbLHpjA5PacyE12Qvsu0aKPy5Ew5JhRub75Pw+E4X+Hij95FMR7UKBwmTrgoMA
jhPjC6CaNendh6CuD1ohCXyZDIcsGsDMFhSMAAHoNmP4H+xlLrPOYcI6EExQ6CW5qMJdU2vaTCW3
XgcciE0h28b7BIoGk67W62R6HcaGArxFJoH7arWwlVjq1LGR7nQPnPU5H7Xh7ju4eP53fwIgAdKN
WJWrYgaG2j9SngLmOFD2Fa8GrNLHUFXZoTdrjuGm8t2jMofy2WdTtaLgrXje6NGzrwBaNuaGjaAe
N66RhgeXGdQV9pDuTNnmHq3KMJHnFTMO3moJBdvuhm2T7Nb/7Mde/DjPo/7wrBq6RC3qdg9Pxz41
JTTCzeiAYijG0jmhfayvskmHu6EaEf1UXYxrHyBIc82MjfmFr3yxF55sEA5mrF3bcIhqaQYTk64U
hRT7r29Tz791bEAeF0me1AYK64ixWenqYbKd9oeDWe/MXyRL9gXU/et2DqtlS7BGme56cthOENTC
u9LNvLeywkZNPI0i1U361YOhUQpHBf6WOsIlw/9zjaH6CdmqfLbNYbovi9wjXWqpmsekol7eSMoI
weFReCPPbbn9bxX4b1WBfER4cf51GXiNMmb8KOY/Z11S7a1f9EchKEitJO7wVyzsn4boeCAQjjgO
fobQD9xPJcwfRofwN+GQDIsZCEunJUyYu3+Ugd5vzmpywIGBb+dTP/MfGB3Eaob5iy/HMgUqHcgA
ayFjWX8zHmHnSvtgiZMrRW5lGtm28B+0QGJi63pA1IVkQ5nv+Tpybj+nz1iSw4tq1HAE4awOdie6
gzlkphn96TL+k2rOtf7KFcYixAKDQhdrGVYQiFx/qx0n1uBuYbH18pXbNndhWJh3AfwOvck/t99i
3YN/bsQzQtOGxA4RrSsZAXtic86xKB4khFIW6u3ndn1ZF+1kbbBzJxxKvFaghFjF4yxb9guv3mBb
fm7rsWKsq3vHG4zguOaxbJ1fm31i3dY9PyE8LP2ZeyZHirVVCxC6ZXcJPiUCjg86hVERyoFg1RDA
X853Ux8+db8UBqEO7PtFgNpi2IEJu++IrKGnLpPNCPvuHVG6eQFz2uQb5YBZjBhgoGEPmEuKvYqt
tLwa7KYsaNZnVPr5aPOe6uSW+ZXek6j7PMWJcSAksr/qklwcxtGWHzC0e7KR3Gnr5RI1ZHNF5pN8
8lHe3otwmg8+EMlrmH4KeIIytpm/dJhHmUXddgRgnusk3YNgIjAUvUlzgYT0ato5dIlMNs0W2WT6
YsVxC3tidPWNkTTGwzIysALXM0uyidR0TvwFhXBS3vXwOzbTwsyXkQcrw31QGM47yiZWL20qNxN2
nIXhBxKnixkU7QXCtx1VcVDduwBxUhXZvShubCbf9pc86dEwCSO7W5YOtEls7buw1E+zaU5oke36
NHmte8AGW+9bf2AeL3pvjCTUbZK+fHGc7Ljd+WANiNQygSaabXNyUFVGNPzeA1e9uw68YgW0luZV
QmQZimMvuMKDWybbuDbLl3YQ8qnxm/xnpwGKR8VotI/Y35dbu7amM0NnID7QH/ZOPEBRBjWz6VH/
RuUM38TKmsHbcN2d/YLogsa+aNO3gtt+Y1v9FA3caZQVib6YvtK3zNnUtaslQhUnCw9Oh0p0MJZ6
Y+mM7AeCVC7pUPX70VwQEvVojHh7VX681wjgZqZmjvfi8k0iYyrJ6gkYHrshs3QrQf9f5fP8A5lv
fNNVqQMjYWJ62zpKR0Oee6+SUok3NclgJ2Kj8n4LPoU9wDL49XxQEORxCblSBjAlKx88XdiVDeV2
OG/XCKll4+FgecLWw2vaMcrhFE69uA5bfOO7iet4Uv7SS7JqIe0lkJiuqSi4eqhD4YqqfJdLle4B
zEGhq6HWf7DJ0B4WCN0/IVauz3jcgcq0S1cwegQihaA+jqyAvmQTpsFa/ZROrA6KiMtyaw2hfvBr
M3MPfgF9rBj6L/izl3dfLRNhmNI5hR6unMzjjY0gAEIWJ6F+pfoL+k0beLNJeuhSo9nI2GVHia41
Ab3E2H6rodOOW7cDrbZpmAyoW7tqndMk2GlsUChgtxFALKozoQgDcNgZsGiTeMBpMYAh+cvjoLxz
iVMBTJUl1p0sHf1AKysQhdSpmgBzyPLO4cGAIRGA8dINVlqUWKIlU6tfvFus4BKQeohvYozL6jke
6u6SjfbQ7KbSsm9iWN9noxsaufXtzrzLgrx5glhqlFsxZs7WxGZy9rhHw10v5vRKLW5/oyE73a8x
kF8AoNRPgTugRZ4Rb1WtLqiOGg5fVxbFR55QD5FWl9WUU3bv3ctsLo2XFmkQad5U4BfL1kG2803Q
v5ukZTS/d8wq/NEvdncFnEO/JrBdWOwIdRGD6o5T024Xg8yKTTI26RF6mCI6p0ud6zRU9Hha9Y+Q
7QjMjCFAPQjXsr421JoXHwCGOEow0PeO47RwoaGh4S/2U/mtmaHkbRzqQxhMa+sTU8m/0ZR1gpii
Sd0MQYUbOxF6hSLZqwyzoAq/w3qCucNVkh9X4mL+yfkeXkJkpvvO9+Q3z4CaHCWhicCMs3mfz3Z+
6gkr23Xa7XacDdMpJ6HqRRVK8A9uOs55HnKKVDZ/GMYQhywshQGHgnJChOOfReKGCe2tlUIVkKK7
YgnIygLmx3g9BJ73+bEdWZlcV2YPF2y0+SWV8Hcy9T5y29RbHTgtSu/Jfs7EAIqc8e49qTyCn1p9
WJ0MuRHdwr5DBXhG6cKR45bnBJ7axySbU+izoPJcmFWJqKCQmChl2tbJb2e3YcXNVJkvAJB4V/Og
O3DsAn3rjvAELWu0ttCYLawQ/CMLTOMbfu/uobfs6RoTiFNGZG/Wr47L7lDZpbwuyL/b9lUzHda6
5L00iuaDu9QlmhB/GkdHjnRrB546hfWoFP6TAGW7HXST3JDlTECrkIvv7MbZIGRbI16093NvrFTu
ZTSfvXwY6l3ndcW7M+DR2s2IAadN4iAo2uYSpA6DiQHOcpD6+g2sZMlUusgUbDxFq55JEi8p4fi4
0jfGZurOMJ3iMpsEKE6xe8hzYp5wL/b+QrOQ2jcy0x77FAqvu7ioHRwnafMNiNqwH0aj2jYkXKIo
IBWk4WHJ6282vB6+Z6a+WzCYd6QgAPn20766CTopzpLjjKdIAhtK0EyCCchMi9EKCCNuEN8q3oh9
eZVknNEoYsdeVzPtFXwsA2gZG1tnY89TnOI/iDV9ftNVF52aw22T5/MDg8zscSqVaW89KWzmLKVl
oDKWlyTUvKyx6t5AKki34EItC3sJc7EtUmW4sfCU0Gi5lZPsYFKpLYp+/wOaffcOCKdVrIGM8Mp3
pF4LTNdiaJ034W4Wy+Bsesg9pyBHNMl2cfTO6LIXB/RWObLXMRafwU6eKzZLi9tuNOdIHvWEernE
/eX9Vyv3ZwPEjFM5h5GX/gNPLUgFk3sg3oVN6V2pvOdNgBCAPHXAnwSaTTpOY16tDvUXmYrB4zQJ
Z9t0vsGkJp+966AvOGjT0G4PQUPO+k2fzsXE2M1nA1YH03Nvhd0FEqb/rYsD1qyfYgeIbcaHI/AF
BgQ7M96T/bSiNyp0E6lYeGV0iAAP2SqusNA64VJZxRfJ6Lc/w9p0sqg0E/MEUQ+tRr3KIKVNMOR2
+iWP9H6JJf/b1v1bbR0tFJP1f93WnRr99peW7tcX/N7SYW9AOP6/XQ8epnZue3w5a7wSkql/zPUd
e3WuA5KAwQRaIljpQL83dMimiE8hLB5PRLCyUrz/aK5v/61tIqnKdlEQ4Y/HJA9v4W9jcKxGg6r9
LLgyuwrwEWD7rS6s4jLZbvG9qhUrVRaWfkRqaQJKbI6LW9uu+leKPNmy1pfGPYFizDvTdlb3CIDj
52KxYue6y6bpIx2yPME1a3dxFNejbUQd2NL9CIJtF+Mmfp7dQT+MfYvxvCfvKb5CjVB+V2p2z6ob
g+d0anLeF3DXUD0EsNYIZeQ5QUFwSkMnOylXlTtYXN248YjORuJS2cjphVf+qE0Ww2W5sIae1NeB
mdaliI2RkYpq459gFqu7xPjkV6coLEjoYyNnd29OnKivU0JxhSwk/WnY2Hs3YeLCIeknn82Aosib
Zlve55gL2an24lNUPf+Eb2Q8NHWuyShQVXKrDAuksNOiwUhkIDCmNrZzttK8AEqdL6ScoEZK3xbk
JIy1Y7lzWXW/itlOpsgOquAgfbRuKFO88nEWaXo3uiMKbTzQRxjpySFBVgk621EHs4Erv12qynus
UnzDB4q/0sfzikaEutIal01a1CLZggkLv8/CnNpVJeKj8lqVB+QroneOi+5qjIu1eCb2CVZmg52V
gd11j7QFfv6MJ9kM2wACPIbCfax8tDd+1R2TOW2OhWHK99SIgwG0flU2EexMOpsSm7HwgzVZaOLi
hCUgdaOtyzt0UdiEg2TJ76ibG+aorq9eypHu1RudIbgWaeOnm3SZMdHHCYMFujCotgnr+R2Ojv6u
ZsYYYQNDUmLDmd06ekrpITI5XGEwBknipVNyHwztT8l3GY/msHTwzgO7+akTlHa844g7p/hcho+6
tz0sI1TTz/E45RhvyLAh2TG38ZZ76q0VYXDv6V5tm7Z2cdnbKDwwudh7lke8/KZM6LsFSFD+3JlI
6dTDYmDuKHdiMYbh4AuVXfTsp/cVKRSi/M6na2kH6VyfcW0nNE+GZBzfz012a3p+FcPK7MJtJUiE
EM6gXrWrvVMwC+tLEvAzYtltyZB/dOSEfq9mFRWRzqnqY1wLdjqo8zY1T2ikmCZdzYNT7GWFfdzI
V1h4gxyMwe7Gr0W/IYut2UmzXUeTiMOhOM8bg15jlzEXgVRsE79TCOQRobiBnMcwtXGIZg+POLPd
89ISOTCbPRm+Zj0f2Zhz3VeHf0WdimSxDhBMbggEMpFXNrO3lXK0acnjcE8i5nCFX6TasU30T/YU
6vNoLwAxu6pg2zWOA5PfpbtGcA0MPh+rC1FODt1C47kHfBHDxQgx3qQ8mAX9NJl/X9aEC68Miu9B
3zjb3AMz32S5fDJGCH6lnvxI1oj0sskVj71TcGoFFSV0KB0Sh7wczGphAUnSSRApyxkgLBb3tlM/
hw7Qe1oSxW7EPuZDcsHVn+6qhqScuEM4kGcmuLlJIiyjqaqiqfDWq93oJ9O2062p5pBoYmfZofhW
h8DKrYvXIsvieKKqZOWP5d6pdh7QtLW+lOMNokVz1035dJ4rd/lql47z4uMPIf2HTOGpTdMrfxz8
J9JYoTxor5w4pCRnyqoprTaZGxsYi+mGePKT5Q69NVeuxsjK7Kr8USRtcGwwTGHNCfMzOOcQ3KxE
oR9byxgN4BwjAoMT8lGK7rYCNHLw+yq4Rgr6ZhJBuxkJEkBiUy0bWvdhV0llQmbiojzoEol9vDBx
iRhdc7UtO+dBDYwQuEE28xIJMJytwOJhQmRq1GdIsvIul4H+rshe2uE/xrI7WObODNp6mzs+QGYZ
VC+kHgf36ZCgN0v4+F/ywN1b7mjcusVU3wk1Yowia+bJCq3yp5yd4dUXifPoQ1B+6DDWUUJ25r5s
EVCqZQhOwLBIqSgLg5Y0sEoO3TQbHzOIaFdBKu03W3JL23ansR139U0gWnmcDFfcSXLLo0+Rkaz0
/Eifg5m8MkR2CwF4OIPkUOC+y/hopm6O304WTAEDjswS410o82MWG9m9UYw+SGsV+PTGdrK188Fi
UTSkyxVRLtAwi7y6zawy/pLWiyb3DubbtzmzoKAvhsrOFlOao2TVQa8vpnc8w9iq7HZ5spVtRW2c
+yvRLcPWh/bkS5do64xvWZ8ZLbBGIpEc2wnr2IvrjeLRSpS1Xxq2h7PuBjZutK9fYR7Ie3vxpnsC
9+gZOJi6I2/06S2FV/Fkp4wvN6Mnph3IlSICb7ZEOXflFSDWh+FTppb80qyZHWB6hK2eJnrqZf4U
tzWT32dfHdeKUb0NjTfyJipWPdzyKY2rV5XcKNDLzZ/SuXZV0QWrni5elXUEOXMEp5+Cu37V3iXp
PB40cjyNufKAfgyo/6rV46MsceOg37NXJZ+LpG9MjHbbrSq//9bH/1Z9jJPm/yqP/4cBclP/tUL+
/JLfC2QWFr+Z6POpQX14cJ9ajN+twUIgjEEV8yveFfATLoE/th7+6hLA6oKof0VCrbuSP7Ye4jeb
JDeE/zbRt6H4j+hO1t9XC+A9Xf5eKybK5O9DtfxX3UbV+VJyomuE2y1pbR4w5aEq603geo153bR4
hRjFdf6wjIfCqgi//UrmGGzSom4r+WRVzrD0G4Hmxdqh7e1bnbMxhMEYPGYe1A+P8MK8zsQYtZpa
YO+wTakAn4fzkVWKNkBp00NX6gQJnZOW5x1G8dDe1OWc47FTGVv8kLPy7BJEeIWWRJkoKL35Znbi
+IkypSVkzXsxmIEcePh98gCmcIt5ivlNBSevyieWgS5z5KcUT2bNFoFtLYWnxo4X9Iz2NBg+zXR4
QaviwWi4LIDs37DmswatB6lu2BkA+LfSgUVsz0m8YPpNTOBLGA0PkwJKuHXDBmxNlXT+LTp+lUcS
8sGB/CvgxR6P5gEahBo3xprUmFZOcWzjXu/RUvo4gYyabwwaGzdtpWKMpm5cvw56FhftpbU6NEM+
bFMpOdl4PxCMIROmM5BN+i1TMfUy9M78HC+N70X4lxirTQ1Z1IDXXX5RoPmj9UL0aXfWLmwqiauK
GJdC7bykZcQnRX/WTSPWEDYy9Uy2YO2GE8Y9UbX7z2E+T2dr0KE8ZLnTDftU9ma5UdzqWwO7hvnQ
ecXOYtJZHeyhjCPmtxODvByRdwamy0DWQxTXhmTWvtmaI7Y1uozqSAI445NEjcHe0lrv9JCjTk0s
lexnMtPW6qxtXUZYpf7px5n5tpDtvC9cnkbsHBnIoNqZ3yoRhnChelzNOJPbR1H36XXhDeULdBq2
CaYCssKuaziWkCLMrdX7d1U199vRSgEzUIV3ERhdwU0jJqF2CS/1PdusCfBOH95NbkfMVdyP0QgN
+CoN48nfNHZVPDI7ZwbjpiMakNxoToRQW6ehImMNRkD8jaeBBK86F+F7XCm6o1kOqjgkQ2c9xbC8
TppdxN4qYWFDdorlY+CoDxOH5FbNwbIldRWWN09Admr81q4I/5oUs3VoAmcaJueqSN3gddVSHRST
TfTkOCwFs1gLdSWyAHsr4+6JXLv+tgvM5Z05XrzFJDQ/j1lbHePl/7F3XstxI2kafSJ0wJvbQnmy
il4kdYOgHLxJIGGffk+WWrOUZlu9fd8REzOtaZFl4DL/zxz8CKGm6WQ2Go3s39Bo3c1cT9VZOFmG
I4kpGAGTIY1CJtn+2iAv8+TGQq5GLagOgJfiZ4nfhuGgjIr7nHq4sFuYw0Ox2cmaWiYS8DauBZah
d8T3+3CWkxVsCYOYI3eWyIiuGqY7q96RzU1bsmLuXJ1drZHPB2xedTipzsdhmoNVFcnPmc4w3poJ
SDoY7vcZAgc4FfNtGudnp2idsMrjYFoHg+m1+VpY7ObZ/DSC3I57O3ZglHjZnLXA3H73vf3bevg3
hRkmzsLfmgFukrR+PzX68wd+GAH0P9DsA103cXjShmjhFvzzoeirZ6JnMFTiKUJ9rTKL/vlQtJV9
wDFVoS11Gi4/9r8PRf8PnI664WPw+tNH+k+sAL+aGb2A56rp4EngGUtxrbIKvPNPRqOGvalynMOA
DBqtzWzJ7xP4ckeHSEYIer17Dqxs2TbqdmSMU3T0C9m8UoA/PTmV37zaqMvPtDd0zzF1zpt3C4z/
ww+g1P73RgXenclGBPeeY+KJMFg2vH93Qe+3kUHb1CEb7PrNSezplixPdV05yjApUsgyRFwGBIU6
t//O6Gmqodn7V6fi1lGrFiorFU/b+sWLEAF2a9w+FQRcohfMQha06j4NTnnQ1i75H2omTJ2sBV+T
611NdpA+GVmbfpyWavni9TQhAXycrSMKSbfBolPsZNH2OdVKtXsHxYgd0NR7GPTGUl5TKoFtSW/s
1dL20SqbysBABO3Km8ScdUznxoDB3hfMSZCcqU/qF9AE+As0sbIkTQ0DKXVkNCS4uqPPYun8+soD
XbJp66K/T6qu2tZkatj8SqStbSwCDJBANbPQSm39WWtbbeNThdDTol8w94FqRQVkU51bm+mElmjs
m9vaGvaAeKMw526qYHY9NR+ocbT7RpCW0HXQlM2JxsXML2nz7wLj2hmziLTYLJ/9kUnjKtUZOoAD
TKgq5AC4e9/K5y24IpcMJp2MgHDIdLFSFPdBr2V3epemxjrDQ/da1LoL7M3T27WfQDMbe6tNtwMY
kXkFkMO9nyI/ZtAkhFusaFWTj/hFkg21BmN/wGCDfk87ibyf0t5PQob5HWkfOjS2JckQrGORzC0e
di7q78aOF+uqmlp9pCIOFRT5h1FK1i42hzXT7D0PIVOjLQDVdnScFy+bfaIabnWbV5TlkdImU9g7
ybKyW8Idq1jHzKFnWbtt5UgkH6Flt1AF9UUk5rDN9XTLcmpYc6UGB4bN5f1izsOlSDo7LpmfrdFf
vbeEdNZ+QS5BdGnkfk7J/W2lKRHbvcykW1MMNgxf2r27HflWA7+mPx0D34g+kODs91BSRsQjMABf
7VEfbozamOjNr7zyKw2seb0yF2GtBG019F8YseCBjhZssWls3WzNtfeQxMyfzn2e9qwLsqjEQWm0
ZYrbV3goGPj6IhGH2cQMa+U3Mv9SZUmU+ivZZjsTnfkLSRpAvcigJVJeUzWDfmJK1qZvQ1pQ8xhU
g40E3rXRcekXiwyolQ0v7pTGFJM6Zv22aBArwyjoJ6gehtCY+0V9BgEjQCAOXVnb6Ub2LUzZOvLn
E6JyNYdYEKSx6enDSR9mq57n/TwIKMMaC4RoVVdtGa+xRMbNRzsYGc2QBHEqlHqK/FH6c7zRJI95
FMjquk0UyFfoVv3W1Z51MNq5UOAKijfmvMvvMYSom2HC58+XtLrJFvjUoLpFEGpmwKu16rMhZzoP
ZFKNcSOcLupISNkd8203Qx5LB979hH2G1eO07NN6bF67yKlfx4FGDXTbAeE/oUcfBB7hLm3V61P/
Sc/aXj9hKHf0cxCNFhsRs6nf2q4IaFTQimV7uZVjP+B7Qqk2NzKDycZnlcN5Ss3lA/YaZNMwH60l
73ZTZEYFqVLbNuY3Jnmt3hx9uiP4H1Yh8K1XBf0hBAlqjA7DSxVPRYo/SHOqN9LNRJjmdumuauVP
QMjkHeMgw7Yw9gwf8IO0rDgZ2NzMF4sDxXAmLmbcr3e98kCALeLCokcT99DFJEGTHIYJX3knpouN
Qr9YKkpIJxgiLlYLU7kuqosBw76YMRbLifo14G/vo0Z7K+DXi3UDawo2DlZv6HP9xd6RKKdHrTwf
ycX+4SsnSOTr9iE2J3NDyLT+1BnyCRe0exiCIHN2hvKT9BdriUawi3ngxXJiXOwnIKrQH5Unxej1
/JRYQ0RcWpur60S5V8y8n7BHJz3MDzJILAAtI6F+JN9kZq0tYWE407VdZPUVNqHkur/YZKTwi8Mk
/MbZ+MpHY10cNaYJnIoTSHvML5YbGlVnsDHKiGNcTDlwvTDo9Bezznwx7lQXE49xMfRwH49DmNg2
Y0Bu+F1pdc//jlP+P+MUBhqs9f5abVx/Ld7Gt/br+7Xj95/5c+noEQtibm/pCISKSeAi+v25dORf
efTT83C8rBvVzOTHOCX4g9Uk5WS0hjmk89WS6cc4hQSSzXKTqnnKW1QA6J9ojkbw6/IIzIaKOdG0
RuaJyc0vLtI8G5LMWAKxn+n0eGHnXqlQtMUOf8KhHDIXLOW2EfNtQaBPYXOHkBhUgKSuN1vqr0kp
ky0xXqK0B6tVVbkLOEMfv07SVdgbFiZ+hD8Gx81tRcPXirHJR+4aPmGitNlWMRv12dLjDcZ0UpV8
ieme0i/nIZNjdU3p1nIuMnRJ1kj6smd4GsHUgQ925Hmfr/saFqbmAdOSirWIT7a9mgRud7eEv65N
TrbjJkhHEnam5uAtjCBrIjf3VRDbRwKNBMeF9pIWpfYYi8pd2Yynd31gxnRuNZjpyZSQie0ogJq6
u4GnvKPlfEiAaisjMe9sc863mFuT9exY2iqL8d3qcf6toboZJ0MAW6/SF4DvDctuU8hmKxZenbDx
nQs2ZZV68iQRZFe9ad6lhv9IMuGEHFutkql6GMViXE8jqZYiZ8FnkmPgv8rrei6vbb95iZjLh4sh
J3z78cfARd+k2melGqHzOf8oHNX+XdcPU6Ytr3lR6evGSpJ17jc9NsN5CDFWhJyCjzgpN5HH/AG8
lXoLAssQvxrcMIV6i0cJVq5pWwYCGNa7oPhQz739waDEYIew0IT4Di34bvjrYRSREdahMC7Nre7a
C7Qf7Sip8nqrbco6ceIPsLFgPYZWQ4yS6Pct1VH7yF98ttlS3MzgZ1/s3H90u7SGa05uyuhmCiwj
2HREZo19IFwfaLL/VGAKFivGc0+AFuOjXdYk6L1YRaSCqP+s6aKtQuDq1p0kznMuU5EAQTaTyafW
UiybglWQpTEvt1qmMGuztu67QrKzJ/u/Rihyw4grh2fNkK6TQqOwoJxEsGuFReQzbgxQ4inmnwyf
Mmr44NZn05j6q5ge4X47tprz5NljemWXrs5qRA7rjmBXSDSfzjiH77LeGuyLyBDTWnA1zkRdDnWm
kw1xMjl/Y+GyaDukszr6NgfeeCrMFjkvrux8U3ipxQiziGkkzoyHf2/0/58bPS0N3Jn/+kYfvhXp
N/il6U+j8+8/9WN0znycDbjNvdlkr4sz/z+3ejblfzAe1znpyQxyu+eh8mNKYII/YGfKMkRN/y6R
0h/3evMPB0CL7fn698H6P8qNGrzG+52wIqMYJh5n17OIqJpKJ3i/D6c1C1h7309nlg7BZsBL1TAd
xNMY5mz+7kiwzcdsQvKjsC2XtI/bw1Nud3ibu6AS3xcUfxn5NDDt/PpubB3JG/aVTmDAVe/23cyC
PE+TB5Tk0BJPPUmcQ1lY9V7N/pOIdx2shtEmd82oD9d16UsRiuzSgbd0nh2SqK++BFLqN/yOBOJl
URhPi0Od4G52neirMXNlb98d79vvI4P3gVjzl8CF+v5s13N92pN4KCNA/PKOU3b76K3ybE1M7Nbu
tBRPA+4jayu9mSLgYZ6MDAc+e9CFql5Wzrlu7cqhnY11O9TyC5XENIqkWoNlWKbcq2WZ6BhUWieH
IlRnyW3eg5yHfIrBV9eDD10iLuV60ybtNPeUtslQ7n7/qf77MGBs4oFN+wjnhnX50O8OAx68eNSa
ojtXMgo+1DHzJTgJ1I6zqeun25EAxEMTGcXL719WnWvvpjK6x3QDT5VFDxxOcgLVP3+XdD/FdtPF
1bnyF+Ns5El/ZoEfpgBBP/z+lX6ZPl1eCTsVfDcIdKR1fjnPGubuRCKS+uw3uv0m6E4qdpHEkkdj
TrLRRV8sdCjMfh1m5PTLvztp1Enx8wflRDFx/qhQuBrP/fxBPc9KIcuR61VlyG9l1lPbWKj34Cxl
t4EMWivvcJbsxkJcwBS19xW0cHcYg9m+nlyr1ekizGrAzR50cKttTAKXPob/Rhuata4tpYdlv7bb
vWO5S/8387Nfc9J8fSxRuW0w3ITqQo3fz+9fd3uHwWKkUZITlW9pi69mBSVE0h0ICqSKj2OS5p9i
P2iup0UkWxfaX0pz6OB9k4Qz63BOYi+062z4mraW94VAUOIdf3+Ibee/DjJIGU4iCoi5t3J1qlXu
u7PYpdhGbxNpndB8mijw1zJIFrpH1BRfEvcMwUjqd0M5OxQVJQn0AaNCWmLzWigxIMe/f98UDgqB
V4zx85iVjAHAkqwaJJUnV4kKeEsigtJKaQCjjOoQZV11HpUUQaWJhRZjoE+AAkarMIek3DvoOvdm
Ft9SYY5Tueg9cZboHPKieLhK/DDS2eTeYPfLotr3sutCCSUoYPYxUeLJctFRRoqPypCTLoVEopSW
UYkuhpJflmz63HRCPvS6hjbDCNIjhSh6UCam+ciKZ8ypM8MNsaJsMfoUXHQe/LTax16JP03TwQ6t
q+ZgEL75kg6Ny3WvBKP0oh0NSkZikYIgoqQlg+DbjRjLaQPMUmyNiwZVMOuKwwGfjsCog0xVdhaC
VRPcYChBw6JQSe551JhjWCmRy5de8TKVFDqZbdDg/5eIYQFNaWgq5fLmuzU1qjpFxtsh9+OtBivt
zVSyWndR2JaL2kZ9IcrbpEQ4S8lx80WZa5VIR1q93FeIcStu52h4qHfoedlF2/Mi7NDeRfGzlfhn
XXTAFkUwtpU2OCqZML0ohtlFPbQuSuJkedO1C1m4iO56LBlluaKtea7aL7jZ2bq/dqM2eWwKgpZb
ef3ZnMtMskTrZd83+lnmsswZ39GJsxuCXkYHrGbkPjOzqB90QIsHsgbMeXqOQbQi7x9MHK7S99dV
pOaxBO5HsQFNGOthW+AMu0nID3v4/GZvZO8xFRhd3E5anFFjBDyCBhqehVtXS7LoBoe15cYhEwcC
+AbdZeW2KtI2oLmUh1e0mYbUZYAWIHus5giZMqy7CLgQc1K6jEYwSITWI1YFWzAA5RL6JAzwyJsQ
dMIyaTXEVVboHWkRrSxpx039b1o/0NJHHMUkh2j7vX920LSiY2V50sOFU02dWOZ9h3jbJmy1Eq/c
RN2wCKTRrkq3c+GW817vurIJHRMycOjRU1+QjRMp+QqcvM9aUy4Gy3Q3R8LMS127KTIdF3gvq+o5
K8ugPFiMEotNTlLwfumlRaIDxrZxlYxJR0eAlyCQ76J2aKoHHsbWEeSpmW/7hnewqSXDpY1vEHYL
/WxuxlPpM+rDd1817ToyjP7YWo5TrNn6xP3aUzWz7OY6Zi/VAqfwKxUJAUgY3gAlyXOZiIOBJriP
U4/9sZnnwlqndUqNICZPpo5j2wS3WTRmNmN8QTNf2WSLdkVJg701mih2eLuB12wI9Sw1zUgGhpqc
SkNEQ/7eyqDvjvIHEVsiJGACDV5OqfaxBeQ7azQG5b55NhZaBtKVP9ia9TgXYBTPbhMAeKrwjJ2c
vuKRFMNb5AeoX+PbitLEqF7psqqSo8AOzDCc5qD0ypCxfLQz03lz8JwB8cUka237aoL+1LkLbgPI
5RlORUvkXYhYsEmNVLwW48jKIqPF/aFz3PETZE9rP3gj5UNk9XRTZcP4PU5RZxNpyIHGOny09l0n
HePRkKoSe6Qw2MdbOdNqOphllu7byTSBYbHrM29SzQs+UEKkTs4sEx1deB1FBBPeMz/UhbJPJGPF
G6s7brpXPMGCD/B/OLtL7pJIEcQpEca7IDJvGcHm+b3pU0Z8mOxs7E9ykvyCCATSrZNr7rSp4bGM
h7peqNGezFIuO9VyyIdXb33k/sT7InB1tp2KT9ELKD64/+p8CYN84NJpCkqM7qrW45Jve1YFMf+O
e6opq+RGGPZM1ZzVJIyjk7Gd+lOpJTA4oXOIaTvpzIw230ff/JnMO5+IG8gUGGqdLCuiYyaBR8a8
jOx9OPOcF7Q8vuFO5W1MLS0Wlpz07ipmmZvhmoEi+ODztNh1lW6cRRCLV5twL7t5O0nNY+3HQc8U
E8Tzem49MbLAna1dY/K1hron5s95kTu3U9/BexfMFvLnEXdJty8jrfw2L4G6h0CAYJvNoEDV2s5J
t6XYJXjW9KjclmMTkxaxuc3N7Zjck63srgJMd86azIkZc9tzbKrBEzP40GbaEG8Ks+IyWbTICg52
VRvia8kNeT6i1aoWTXXHphKNAsvtRInNhofMKK6MtjfZ1geFHHjSku9k6S2yj20wBI/azDL9uASy
Nb5IzIYq0Gh4wyEdTX4VcbSENOMIm/CAxEfHlwbJGZPeMMjTNHvFQzZ0AgRot7dLaMf7ZaRHIsx1
Mk3Q2Njtnyp3sq81qWPxTURVDlfxPDZJ6Dt0az+yEum+6AHQrhW3zm5ApuqQz4Jx8AVPgVk8AK4z
0hejXix/wGNIo91TIy0t4JeBrcL/AUD7qEXN+AnjCNOKwqOF+MAozribcBQsu7Yn2rpJF+UHSk2Z
WbcT0BTnXLoNaWSyPrp7Ui3CU0jwbST7mzQctdGvwN61i4cQ4HcdJurJmtr1UNBnsFt8wdmfoyx6
6zlShZegQlzxPBJheszIPkVcDmnwgXO97G6rAL/EtjebINv6ZeKOq6l/NcHZAHNATfKeHJP68vXo
xNI+2VHhD/d4q4OWhztn9KZJLY4mGwcMPind5lS3tE1i3ZqTXriHaKoDPtc0afEpb7VmXJddxD2D
1VgvTwX0PLaRQR5vu8RnXjdOun6YBfG99UyXU4rtKPFOl1Xpv16Lv/NaMJxmXv3XoxRVXqz+0zTp
+7E5nQHq535YLvw/DCYiNmVboFypE+Bf/Tk3DwzCOhgTKWb4zxTF4h9/TE2I+FDLoIYpFDS4HpuF
f+CtYDzy8w6O7QSjIUbkFCpYEEkc3sj7vUXqpcLJaSc/EH1bTkQPl61mdlzdSwl7zpGJvpcCtxf9
5pI+E0PMuBiIVVfXtV3PT1TL4YqveUTFKyo+UCUDQ9n+88icbukhBTg2a83r0uQt0e8uA+J1FaXe
3ENzbcwNNZPLKfBiiH/BZXnIFZrDEaqGr17mc9MXKcNlHqYoiqpA/15R3sMWc97OH4EBLB7vl8Hv
vPMGOzqy9mWg4lZTdc3bRBwlTti8WUG1bLFw5uuqZzk693NmENmwtarZF99LYYxo6cnHXdpiZk33
2cnFVkytfeBp5gd9iOJ0U/YxzxbuXZrzmugsLsACjYFMrmpp5ZTTjLB/x1therTWeLE/xmfi+4m/
rXMUyHuWt+5WL/KSyHdK9g6nXTdIfa0luuUcaIvgb8YG66CXqc2bakcTLGEeTfXpIF3QrRNdenaM
7y3mxp+l5qUb6YR+RBV/KhWGbmBUs6kvbLrOU5w65HH/BQSG1DaVMWKfrgSsARpaJH8CrgDuzsnE
cPb8jBscOQWLgJBl3C2gsNajguW11JHiStiRn9BPFMAWOz/AaqMIe4OC7bUlEWP2pbdCgfiwkHmk
oHsUWo0C1LvBnacnynvzF52sIvtPzBeW09eq4NP5qincn9/R1iToYGaxpgVbNOn0IH0AgRl2t9WY
JDVTp7bibl/JI3fOvanQgomCDA4QRFnswggN4TzvNAMYYQeVcApmSiTaoV2RBeg+ObUR3Zd54q0n
C6BhHoM21DHWXnl60W26hv1nohCItYIhCs1IdjE33M/uhZXIBjG7HRRAMR7oKA+nZka6Zo+KLJMZ
2rFKSGgw5QDB2HbNvBuFWD5YZvGYaY35Slk0zEYTeqPKpX5wFdDRHi0bh36EcJtTA+AKwI8tBMgo
6vy3RUEhg0Z1a2CSlG/I05tsoYDNSMBI5vAkhwtYUiEmrWGh08ONI3iVMQjKWsEoo9ozXieTbYlB
2Wq0Mkc6DbK8ODAqosEazNpjp+CWlsJckrO2rkbWfedCQTBLhcNsFBizH5rsRVRJ9soRxVerAJp9
TSMx/vbmnCu8ZnMhbUYt0E1mH8stM/7hupQgOctU0TmjBlDnnOFfRlW2uK1YU3ry59a6CwCBKhgO
l30xtbTLNn6aHqnmtm56v++uBxSmZxoZlPlmHvVTkw/piZIM8djn/fiQpqBFrTwmKTyBG6U2OvvQ
Dq68kk4d4EnoodMStIVRaihcqaPApc0yjTu56PFaz8AxtALAqTOAOiX4OD+DGwR/GmiUXQJElZBR
C4VIjfqEyieCMhsDfqoJR3V29JklFuIZG8Qv9Kohvinsqh6THauoG2Ag0A1s5SoMpYk+rReFbG0u
8FYxptvCntPQrahOyGpHnBOFe6WXz7qLFAK2VzBY/JjDHV9IdEOkpn9mKWqEVPGVa64TwAUKKTte
4LIXzmypkLONgs9y2LlatJFtppc3XyzNlSxhkPZWU8R6emKBthJlK29xaUG2ZVrkhhmjHBY+jvlt
MRO6Rsi99ZzK7JsCCLnUlQ2nJCpvm0EGZ1NhdLHCF8DOAxaeF8quroC71I7pp0DmwVmrS/Nunoae
B0U3B9c4mYtdALe3uBB8DS7UY0+p93qxAzbh0SinQ5obMbUv2Mtj301Dvozq1GNuxXHPrUYBgzX6
yY+msI0Hl4SSGepSi8JOuPPnJBsnnE0X9nCvMMSdAhLnrkdIDDotzxLCn6I2P2YKYFyQlNkJEteP
RpuRHme7fjYV61PrhWJfzLl46oDTnSfHW06DwiQ3CpjM43O8L9IaijJXj3ddjaCV5wtlOY8BLleV
Mx7JUw+gRo3hPMjWOpos4bd+KsQHfFfs0xwiarM9LDsrnZI7nmzNqxv09SdfVt43Ku8ATbhq+BgE
8ZeR6raNrdg6EaLqCCPnap46Z+0Zugy1WhW4BVqnHXwD2uFK7wpSg6Vv0E1hjlQsuIuWHYvEFgQM
K7nBs0yhl1Mq+7Cb5d8q26BjORjEsx9XrruBX1d+suLY31Viik4EZv2rwa9wjWGyI/rq74M+N6mS
M3m+YSUDPSJtPbjBPNedqOcDaet39VHU9N1FUnOJUeXOmckKLr6h6p9RlNwVy2IKkDpbQ5/skN/v
aCz3r0nfz191qy8AAfap8jLxHV8R5NQeE1xqr4Jc427KtdrGL6hllbppN9SML1G0kboPqCevrHOq
w/fqq4EGNR+zD34vx995sgYZ2nf0z4RmoImQLQ56f+35b7m+NLBorDe772pKgSrnwY/jbkVW1boe
ZWBzG5xNCsAXPYyjCgSp0x1FYRk7rIT0f1TpOsiEeerxrmG9qQEcJBU9obFpPXnEhugK1IqtEBCg
NMKDDZM6a0NZj0m8Me3W5Pqaw7zo3Z3nxPZnpH2CqrRfkBYeh+DBICuxpSmFYs6kNR7JWSQ2KOzG
vs0jEZFxG6bgrogrb8douqYd0rr2SS9w2EtbPwndOEnbZRwnTX9jpJr4mvTshyiHG4M9RT/e3tOy
JuwKanfYeXW3zVI0t1TjiX3GsI/eIQeCjMMgahzp7t1FRus9sxYw0dFJH2AWtLxvPiTk17ImFBfl
zYsjCm9DRfodzUBdxufTJeuO0e/2bKDZXmUyS45j02pUP5od0y7ciBEPbbF8Tpu2RH9Lo/FoQrWm
+n+8mpmLcmra3bbM2HWz58q3RsrDmnpvO9uOhIkp/RYL64+Jm/CZEZVYd6JlOtKWNwN1iE0YLbq9
43kHAdOGL1VIbaYnyvD2Zl34N6g3zDlAIr2yQHO7UMtQ98Uc7fsmi8IYMpC58gzKnGCsx0bImV3c
jmRvkhCbaca0Sq9ZvjIX3BDoG+/dlq6nkfbRg6vP1Y3MhXIvWm7LyRF4X1j4Jhsb0WmX69xWfAAi
pHhZqdKnbOrjw0Bj05Oe18WTbbIGhJa02KGDPfSmyWVwteQuq5XYiQ6619B3EkO8g+AN/WFg3BUd
0n5oF7IbVnbMpKoaSkk49CwxwQ2Uwoy7r1aZeR1srFzOht+sLOFfR4NDPan026NTJAJttLNOtt3O
50DAewryNA5lLKZjUo3LJmbh/7K4/lVmu48gpUbyGum5Sh2DT2kfy9wzPqaeba7wGBbA4FwcHl7p
vhg0gRxmjWnkMCbWWvRat2ms5Y3Sik+pp935jU12JxlcGBJGQlMiFaS1rMadbmnA+pyCQpHGvEoL
o4Q6Gz9xWJjEzb4dBh1VRlbB4kYr0puBko9T59ivRmcz/hlkv4rzvFjnuU/8uCz4Ymj7XhVAxQiE
4p2t6bo/xgmR6orAC/oVg5V0oLDfNj9glyhywKHgwgDRtVvDM7GhaNNCYJcu0IXC61VtlzvPp2t0
STPrddZMOMrp0oS0KO2CyPFuJpdCr8at8lPF6femdd7G9JzosZSdu2+AoJGl7/STYhnT8k86ewGp
d6V1SXoAyupv0WaWsMFMGc42rXJNLeNzpRGGCcCc3Dg6H47uAqYdBDxc0RCpdxuvW73btf4fgvAv
ohMbQyxalBZj4kcVZn/488YwiWxG072fHghusa1DAgC5uvjcpR2IMQ+2XonPDWspApLYB9e/f/Ff
BNTLi8Prwf/lo+sZwS8vjiW1deelSQ/GVLefl6ytrmleSW6gJuT3v3+pX3Rv9VKWQTpH8TgdsEG/
vBRD98yFdcVLMfCrSO76c7Gq5rj++vvXuQQB3mmllxeykRjZ9OvUQrjqC3+n4uUYeu029+JD30Tz
NgGdcXB7jJtFlcpb0QJSuB6CRE856OVb48VK71gw9GqoMGyuI+Zqm9+/pf8+xJ6JB+8iVrOn9X7Z
+/e69BPJLuOAMWw56WU77xiOsYO2C7oD1nqctJ+nfuA4A/H8rmr+Oz/6m/mR56or6a/HRyiddfv2
5ae4zvef+eHD0bHU2LS1BOrKsC4I2x8RVpVudbBxONR+BxgsOeA/fDgGPhyGTZhk0JB/jrC6fzAB
MgOcMw5Pb9Xp+Q8mSvavlgDfo/cYpdrzeTnO9l9Ocx0Etg4RVbsijSayYMsky5/7F7KddtUeM71k
4rTKicAmYFw6SfvztcUEfdwAfsQuKgEAzXaD5S2I/Nw6VRoeC7yTmmTym3EHp/a22/XwYKdol/sp
vLhrJybdQZyE/zfq99A4eK0n3RnwGBLS7Mt+Sq4NuH7zwg7J97RV4mvMuAeAzuXRwkHCLNsaixRi
DBMPmDP0VcqwdmXbzA8ZRkWDBZwdj94diY4+CW7SVJKRDBhGrKjX0MoQhYmiKVAe0ENoRKMHmZaR
GlXy+03536vm764awAO/v2qq6utnmX7u5fuhq3f5sT8vHM/AkIwi4HrktNR1w+3uh1fZ+sPjctF1
8t3cDi825h8XDlebqnxV4Sp+G//wn1EsBUlMvnA4I4YCLPCDf2Rgo9rvl1EshiHMQnQXIOM4Ko33
8wMCLdgNiBgM+7qKjbWZpKDWoY2EjpQvs5t/8nU8r02N5RbvUhBStMzefppzZKG8YVfsP/qDnx+x
3OenqS+uB9/uWGe7eNBaUJ46/YdeRnIVgytZ0Z6hqG2V+hqCCEVgvmCqF2gpAnQfhDiq7houBdI0
sOUzah03hvAoDDF4TXwPQ5hRUYhXWujrLO9ewDc/9k5ao7TUZsh+/ZOrNfq6KPnrOQtBKD5ee2iG
9sUAxcIGg9RQhoq/KSPvgzbq95llfBrow+Nnm5eixqwYSyrZa4/9gmveGQnBc7Pi87jNJDd6K15c
IwsI7LC8HDU+XsUIGjYQPuBB8w5t6x/wK0uEd76aASNALEtrtbD/NXNtWrkuX2Xtt91aF/xSqnYt
fGHxEx+Br0H3DzCUuzX6ObEHNgrh0NjaJolIf/SJWe8zGnC3Nf2ha1cwsxhy+270e7lRP5nZOORS
YH4rEGZEqma+gqaw8ElLY7mLa8apczFQLMRLosM7V46NRxrTornpBW/IauBr6gvr3Q6nROT1/jqo
q29zJRAfrZYG0wgKH8gVFgWExT5HhQb+tQ0eCXjKzcWz3BHhItiOyQR1GEOwPpjMzIPuEfJXDrkB
QM0latMsuM7ZUFkrS0E9R8djpqA9Xk4Syo58JhY0+DYe5wEyOBV2PvMZPXhE0xrQ+fmvUnfuhpQ3
FWe5fbC0lvt9RtsMM4Xp6LEJ3ZAC4iyS/F06FM5pZxAJrjtz4ynzvBsRClyQIFfUDbCAdpwz5/M3
KGfWymTWtCrG9BO0EI79wp/Y2ZMhNLRqPUq/C72h5mdKviWSO/7a9BoWMaILQsJLL5fjXZI1XA0F
p5UciRbFCaeMFzDEr2lpoU/EL466EX/jIues5mmAmszZ6XucKkwS05CQ9fxUJPzR9bNPlsEb4crz
VwPdi+eer8uzvccZ/8VmFFwnnjdGx5Fu9FPicXUEXvfi5fxC1+MI+z0nk8/VePkyqoaLYtT4q01e
firhbmyY5ItjYXbOxmZbHRZ5RwKrCoz7smPHbjYjI1OgJdh6mmYLjMrctHmtr8sWkUUQNNqMcdJd
0RA97WLckNc0oaXI5dCzclpUw3m0rtORkB9sJ84y2t9xU7BFwaaur6E56SrPgKNkjosNw7NvUCTS
uyFhlKMuL/K1y143yGNNNg0LPZ0Gq7ongKSXHG5wbzk7Kr3aTYACNwO4pDW+DHhY6thqJR+fENu1
OxBoiA1OgaohaWYhwgJlVn4gJePUwIN2HXPsDX6MYEv1QbEeNSz4lxNAneFc4neUaOHMn7mNBQPX
t82QgnkNh072I0nEltNoyk25GTIjemsU/tAh2scWjtcCnEn1VmBx93LSTyltLyEtMd8Y81uUSHD1
6BpXc2nJIDQrIzrqbV9d4/WZzs7kIDhlnzRc8UQyCG/Q36S86lwR/aJr+9jhOq2pRbimeyvYei4n
GQVx1TXxUl694vblZSXNndwcMKug5dq7ICnIkAL4vSZAPIRgb9zQk9Rc4rPqVsL8H/bOZDtuJMu2
X4RahsbQTN0d3rFvRIqaYFEN0fcwwICvfxt6UVUSpZIqc1yzWJEZhDscMLt27zn79N1pcrFnIMDx
dzotxVHU0g6NImZR5FQOEJifzvBIMo6UdceQzD8sGAkPjM6tEELyuIW6Qzdk5CNMClIvrwhdAZ8V
rPQK+/+vTVbAGeT7S4tUaoQLiVvEHJJbybxn10nnzprXZBg8mhuJcplthxi7mTgxFG3EYdG4EDsU
W9hZXEdfKy9/o4zj1sy8Ad/vNd7pfJeX/Ell8rs6FYI0Rw90wjj70VCUaCMKI7q1zAW1U93S9Y3a
t9bjX5dEovLSN5gRWE/AM6d7s+u++MKQYWUgzAOO+VQyiKQTk9wak7omzDlbkaLxeU4180qj6AuT
NIxZhFY+keBQaYMggqUgsU0W6/SFisANMZ/2JH8tXfbZymq9MznZkqYirEcJwG0HMarJrtCBqXM6
CX5CW6D4AhZnOirMBHSEpOYQl8SOu8KLMC94+67XkEfmfIBYRmxOH+L1bcyt25Jg30Tq1Rjq+it9
2C9OSj9pE9s6f/Nb21gQERoLoZu8GNNxqLp6j1ZEB82mM1p722Qd73zmQEOP2Yp2SO6jq2CqFwK1
7Wrqr1E3+x5UCIfYsWFeBuPjHGOTT4j5KS4j4KHDpusKExcu/e70Wo6uNYcxaRDGPe2Q/Jx47uMP
pdj/opNAXeO4Nh0E1wMlGdjvjplFYFiLw5Tj6KXzfKAd9pbmbC525T+qjvap5BAACJUn/c/XXU/u
Px64v1/XMVdOvy88W7yrp1AYw0AeGnU0p++LHe+gneL1nQxAeE3+9uervW9ZfL8aYuI1EyAA5PPu
assUG/TsK8VImQdkrQQCIJBhbBB38v1K/3cI+MshwEafyl3/n8/Oj9/0a/9j/f/Pf/HPASBYWac0
CRF7uhgz7LUA/6+TM4hU27IwPqwn4e9V/n+6FV1yLbC8wE118HLQsv2vA4AlMTKC/cdfSPtk9Rf+
KydnE1H3z0+siebD4Rzh8QihDuVaP58AGGwZY1uThjxhzH8eDVRhfTF/8TVQQVRRbZgYrOK6rPN7
b/Kv+r7BdT5m7UNDkFIruv6sZkiErU+j2amVcZoj242g4GO+IKXWeFXeijOGJdUeHR9mPn4sWsS3
lSep7xwnhSm1MarC9E6L2aGrDMgoqz/0BTZ01lJynZHF5dQfV37TCQ+46DgtTD5z9uKS6FWYngQG
LLFg+NNMXdd+KPxqoGhD3F+YIHu0a7GxRcEQeomgxZ8UjtXgoSOgHflklftkEGlrnoMwpXw1z149
W08OC28Liq42SS4bHJKj4Rp6szyhMpAkNZG542WPBPagzN2YXj62ZDbJ+jUjaudr7GbotxarR0i4
MobESIZXz6b+wHgLCN3AR+gPua6tC1/Ya9axGyQXEa5RigP0vP1+pJoeQ4h1rFl+nVFt1M0LuWgD
+dCVPQDO0n44CV++zKN0aDHHyTHt0weIsA0/lsquWqvizGBNT1md2ge8n4xHyyA+onkGvdCWcfIM
XRRl38yUks7yFX4HlLxKPZOFivS16G/tUifIb0e2gTF2v9D8mBBWTi8LIomtRTGVa/sU6/yJ/jdq
hMDMzkB9P8cpenOb1vXDwmAd+a5RHhS31LArYji9Bkmkl3h7n9Q3KwgIOE6f3MJ6q4H5XSx9DW42
R8aC83yL0OylLvszHOvqmA/QBfDpAS8vUfXMjQtBSJiM1Rc2wbLeUBw9NcJId6oz2JzL8ZubVu5V
6S7R7RTU7obhPlJcBUWkt6NdPqv84IwOOUELxK3MdnfjOK5c9wjMx4S9nJDf7sofKJM96QgIl2m6
r/QiN8qICXvoW/9zqqwRPxKVHSG9+qy7eQ6bVhr3cTM74J/ib2Af6htpDA9ySPVDVSK6BkcKyTdt
0iPeXnejUlQ3oBekwTRf7QdfOifWhWTfgdbeE0zLaCYxAuIapm+1zNEKJNhgI9aOTR4rHKeRTj/D
3q23o0TVF8cdhzRRciACVLXpK3iHOB/djRTAhE2jR3Zo6UdTVgKqef5kFNFpWappU/ZNy75oPDM3
FkgMdHZOWgmcoXHSN1vJ7pNaPM7gw4aAYCff9GPrOkywRX5ZjjmcXXctt1SHvtJ2FuONNI/K3ow+
DDvGH4TG7bpsXObtXGrjSBSpgng6Tt5D4eTNLY35Eh1M1KXXDdY2IitSHwstXJStWajssXdLMIrC
XGIoZLV1rlTcQcWyB67Gg5UvyK6GL6qgWhHRON6C1kfCMPJYxMFYQNygafG1bVhUw9hz5jOsheoI
1YwR5QE3QaqRDrlCb1s+7UqKmYY3EyhcuomnqNm7Wqnkbc56kqj9KWhhlwiEV9eWL/sXxkDgJ1Zd
LySgsRQXSRWUhyn1m23SGtZBWDXfLJ9O3pyRJ57UrBKaerYWsRFKGygcWMt4I5rWDqNgQS4QR7C3
/OUjKPbgyUsblDKZ8cor9WwtKeUk6lfCUwABG61znQl0JODps4vKSL8i5+l2qdWkT2WXwTqAxpNe
WRzhTETkC8MkszRv2zL60BZW7jP6t4PLxinqsxkMe9uzx0vwds29YwfGA05F79UqZbqL86BFnLee
YlXM4HkzIRMPo7rSOAtm1BgRErAhor6Oh2G4RiZeh/wdyDqGoPpa39o14/euXEZk8C3iFgPpMnry
8RbRABrauT9OpkhWQCgap3Z1L8+RW2EfmV84O8qjM5bBl85igK1XkX6fA9yx/eGjO2fgYIUwQsse
T05h+mSakYu5GcxmeItqxwkzYzDII5QJmYLKXP3jQdjUGjNhjBsmglK/IUb7Op38/GYxxHg1p9iO
qll5u7TSgPd7PDGjZ6lwcKz4AJhbbwR5I9sgy9SGMcUBx1/HGjxcBYpVa8HFtcHxyJM46Oo0IArc
uFMn1wCNe+UjSeSUmodM9KALqjo4tlofjLkNTh2ivy3gGVTUblB+mZt65Hhow080DWPHUBosclkj
bw98q38M0izYgSyad2RHBPgf2xNaNqTFRvOmW+9DmXo1lOdJ7UXfcBibgwWG0CqWrnSyV4rTjZG3
X8d8uSqIi74wNarlZSJivbC86saiMrkEWVSHlZiZgaeDOC1SukcDhzs9N4BKhAqnW5/DCmFxfGda
4cXGKnPWu9b9tCzIySp/zWnOh09WnecXsomijTnDJI5soCMNmshLnoH+0KcOoZN5/gY3JNjrZvkU
N2vKyBKwlmUz2ihMOER7jxlLfx4gPGzA+oli6G45E0fbhEiY68nxRzZ3MiBcEQMtkW9N0H5zhrTY
F5KCYdTOcwnLZlvmfftU+PyppXOIsEGp+NYpx9piacp3SDjLjddPyW0ti+wusOrmhKZ/uRzzgdvg
5Z9UGdFeGnm7WKXGZ3+u2TAGe9WIVVvQgdCQtM+67qbFZ6vC97+mZ54UvnXwDh4aiMCoyCFcykvL
tKaQA5OzHe35c58Q/Deiv0X/xWeYkhzfcND6T72wltvc7mtu6MJscZN4SpPlmTd8/HHIsxde+xzy
wcTxpvUk/y3+ywd4WSe30EwdiiC+Uzi+biWYwhfABA/k6k6MheJrx6r7o638mJTzJGtCkCncaKLC
nQ+coQnYkOBm5sGn6xG51rYleJFfepzm3dIC2uL4Do8rrq2vEgWs3BETmqO8MeubkUSLo1g06g8t
/U9T3osXcDxfsiYabhbm7VlIZsl4zOgc3MjSHaGJZwgUYH3BNJDJvA0sZpObSEqeCFHet34gwYyL
XmxZNQ1KDAujoXR6cMgdnu/1RY35TWm54wCFy3RoGlPyylSwj45dH4B+VrTpd3NsPzTprNbGxyWc
1exj7wZEzMa0wqaEiLOsTrB3xfbXwu3lAxGX1hczzhi5LA6g342RKn1qsL0ifMiTTBHFOesvAjXj
Du1W/7BMHWw0Fs+rMTHQolXuLVGiF4gkB283sh3oo2ksGY+zO3pfob8jBbV67yYYZPosm87BGZpK
kl+mIpSp3WybGsXMrmsxdaH7re87UlUY2XIrruk7ETIqIszSELBUTHisP5S7UfckyvspDiR0Z/vI
mwZkBSYdGj7XYehc45BB4SkPrVekz6xm+TNbnPoIRVw8MOcC7px56UnIiYo3at1zW40GychGDxIV
znHxFFtpNl+MBuZJYt+7MwduXohEwOphah6gnetoAJQagSDQVwgoYyxCFEjd3bDo4Vn4i/oqm2k8
IuQKLjCBDjcOs98PtS07NLt9DfHUbl2aOBLnNNXV8hR0Q0kUHNKoiXYRK+yWc5IKdkvQ2JBGCiIa
oK3zPlyQRY1zzo8K98MECsP9GOdGuuxGX7Oz+soJeBE7Qt/nzoXh5uSOe+3aefKCe8o1KFbUQ7FU
TKP7pDKuCrKHXyCoVPuO4DWHpE1dnJSi3Qh9LPY36GzoU8HKLp9FpJEf83896pLltSuDBwykFUVY
qz5XZVUjvfayvTss8UVXUZIW1YjscCjH8hGtLaGXwrMOdHPzy6zuAZHSwaKv3Rb0zhcad7Jr5H4y
q+mOFlbX7eQCCh9kDO3PzFSXZYVb2bEypGke4QBWY0fzPSlbXX2j40STUAOLEFor3WbXolgomySY
VwgStBTcMpSbqa+IwcCO5DwgAHHznmVsrn2v649ZkJTBZsrgnl0UmhBht8/MEGZI1e3sPmEd1T6Y
9rp37eOQuPJ5DRyj6zXFjXdEXt6YnwnGjvBXZ1F8mcL1Jd1+Fl0WWn487TD3jHT26HOy+gxdfTkO
RnNUgPLudTtwFoBohgrUTXbjMBvnduqaU8czuVODnV42NFe3kaW8t7KrnS+iytH5wNAesoMum8c+
J3f3xaRzti3hmF0NvI9oUJdF7mh2+t9qv4mPriopwWlDEuORdt7Tkk0ihDO8OGHQEzLYW/3yKiis
YYvghSWm8BqdozjU/NnzAowGFXPafEy0Q5LQZMozWpJpCx652cnERANk0tQP47xHzSOAJgrcfCgN
wRd2XVZfO06Ls5HP+AFBZxkOmnEbOK4sjNnrKM5bAoGtDuVj4Z3ImCCrgYP7/RCnwb7LhfUqHY2K
MO+ILclZmYq68TdeWieHNLbHXVdL/9JOS5eft0+mzzTIxkNhOTe2ToKvgsCJkU+y6QYBXN2y5mNr
Fi2llIovc460GkekM4U8Ny0TOy3D75aMiodSbMwsTcIJgg/oPbbxSBv5p56annGGVx6NNLJ3JLji
VZ7cCu9cMaB+E8YMaQ13Yh05cG5xPNwQWTLfN1NyVLiornSuQOnEFZ5faAoFrd0k+dY0rnMVRWnK
QtvGx6iGRpj3LPyI6LZzQVIaiMaSEcUwsulM810yiOB61GRbAaB2jzmDfzIKBAsmWY3nVJi3vk8/
ltgmXRP1Hb/iY83IYCEbjcKu9a9zo+2Y8AlGkWjnN3Bn7Zc4ICcCRCKudGLUyxej6V9a28sh1fkH
R2pTbBDufRWajRUT/XKaS7RMJgfPdDNKlGKabDCatDbdBy8GmLkUr5IEsnDk12LgqD82PoeImFHY
0kIJLD72GfELhaVEHeLGBUaIpSCk/2htClzl5yztQSD0Gm8Yho8tNbMptqvNoQg7TDVon3V7WSML
5WnpvQOYJ29rdU56WcRxfkv/QYidcrTyGZyJ8bofqLcz5ne7dm3/aL9vTkHbkohNsvIxznzxbao4
oqGxHI/AvxUTk9a6ywYYVnnToS7Vwxl3GwnJcDPxRpDBm8zNySdJmQ3YyM9QHMe7JU/ifZy2nzmv
UYohcYXPtmTlqVLNiJQBrePzOAAApN9zRShP9EQp9Yi6lDzibvAuEteetuTtUDjWCazQpYUVqIxu
V43qU2C2VxPzw02SWU/QwWE9jI6DP7Lzt5O0/edEmyWyxK7aBcJnsKgi+bjUOIflklsX1ZxcpgYI
biRuR3JyHjrXfLNZSfcTsZrMfbE4J7X1QmxccbLHyvmKzLtDvNTZAAXLJw3a9q1pSoP5X+WTekbX
g+JbN9h0Fre89+eBdA6yms3d0PjRp1GoHNPryDQatuJ035rmUm8Kn8iWAw2IaS97RPwU/6XJGYe5
ELrAgNZ5KeEp2JIom2xkagvNPCHee+YdcEXenS1yRacljQlKjKMdP1XjXeEAbW5GfPxY11E5M+TM
U5xJ1lJU4egXZh8qkTSQl1z/xD/wP+WV/2bF1r2T1SwefpqcYcvm51myuYIK/cLgULUHZKkxgn/l
MJHEEiwLfV7wZvOqm08dWxLsPiS6ylp7gU0Vb+dAAQ4w3XF9J6jyUlMeLEklzMCNJcHV3Tgds5oG
/th+iv3lrHngt0XaCLw0xlUU9NQ6BTGCkOnPWD+GPSENXogbvDg3kvZfG2Auqij1t1Sm1jZy2ssu
Hu+CDFtoiZdeRbMMgzU8wyGHg8YMAwwUs4gXhuTA2YUG4lIaN5PlPKem018MEbEKU8fYIGbocUhE
E4dpTagiNDCDoZXqT9UQCzoXAxPKXH5tpii4Uwb+XXzo6Tap5095bNI5G2Z7T5ZpikrZ/hzJ0XyY
fMZVrp6nbpupevome298YO2zEA1IaJ6CjJiupRkliGQhVc25IjLKoM+SpkxkRZ4fA7e6QiaPX3Sx
Heg96USeKQO7ElCDSPIz5NKtGSz1Pk/n5rU36/pFosIsd4AOly/Mb0DPm3NuvNZu2d3gUTKOGRse
MC3P00c/z7pLL+eIhFwlA9ueArEwSLizy3n+TJ3FqxU3wEwy078hCzW6WoYEYljqvsWdiQY2SAz0
7LSh7xZNpo5MGWdum1RMH3wt1a1lJc5y3WmfQJfJK+sDXdAV/jDYxF0u2ILNGiU1WIJU7xoLoeY2
XeZmnzbk2Tgov67NtJNMHtkMSB8ZH+dYfqBCkA9tFNcgfefhyHswh27Xmxyu/KcJbfwGKq/1AMYf
aXpi3zCNi15LXRnbjIDd7SrCTXcFh3TjYrIoai4Lsgw2LdrFC2qIQe9jUDNIHFJXnZ2K9QczhWiy
QxxNKF0msv8YnfstNU0J9KzicEN5h6RbIi6pu6eucdqLtvXxHgOhDwBuCnp886oGn1kXXtxaB/b1
lErxOPIHQB+0anlWq2mD1xjLjE2DesWXzf0Vzg516fH0tFvRTAN2sColvKiBrMCGtSpWVEzFNE+I
/q2hZBg3rJUQq8xLiXHlk9MlkCxylQ3HxidlqjV0S9HqO4y4Y6NgTOzb+kGqZqD5JHLsEBzDfH4J
I3hCPADEL4kzEMJxFOsdPbX5fiY0MAcCVKbh0mrATV7PwVuT2LylBC2b3Wg3bxPldciI4G71tQBm
dsW5Ad2/k42aDoSbtHfEA1jPWUYFDm2VBXvppHnbtzX0FVgb/n1PFAsVbxfXt8VijM9Mw9TZhhyv
NuUS+FfdbAzPeWOIa0GUzcFqQBJweO3tux5ZLlGlEceXDj7ghWEk1mfEx/l56P3xwbJsmqE42nhL
a2KeyKeRfmVRM8L7S2Wf8VJODjuWmugKbuwuiLNrOvwD+0nQ2cVFZlqz3A/uJPmlyyyMhi7Odjrv
b5e4Bw3rzqsTlTbUI66x+EwMUL6timR+K0AcvOC7pFBb3AFfGw2m6yQAuL+Js7R9Vq6s9xNEvF1M
6g6b/VTvOOykoYj77NAYky9IOy4vOpIKTuOEwAADeX7ZmFWFLAol5mW91NMHyMs4IKEHlzsI1s7W
7ZyI5WQw7pq8ba7lPPnHMjHjEIgI6bq9cAAM4pLYGN00XPlFaX+ke2uwiU3No6C+u+zqdtqrgeqf
dqZHl8ZI7uckGyGLwTjQzDK2cdOXV2oIvhijaaLxL6Ojm8hhR9SoeRWMvBqwmJMwbe1TnZj+bYWB
7DTNcjy7hrdMGzcqdg4GSB6awNvSb+7OPVCVK1C3+SUgsc/kUZrhiG9+n/nzawwmZIsNkpOBn9FW
NKOSXlk3PxmpHe29zoSUYsEZMnjQD8nY9NuRaNZT3tf0bOq8AmgVgAVKbM003ySrGa8ftSxBZi8p
protR4XlOHeaODnP7NWt79X0gU1S4HYkmozFvZYJoU0Jm00GxAY3BFFzl4bXonpifEOP1aTSqJO9
mfu4EuqFqKeFfy+iux6G4c00VGsGQ/4U9NZHe80qk0YVpo69rJSi1wC9OqlYDDymKYl3vYEoovKM
em+ZuXOcMAw4cXa/+ACGa0fKbQDvE2T3ckMQFBqIrH1u+ja7dWPkq4Z1pLAaDuPijJ8MzRjEso2P
tgABLhYqZN0a6aEBLLzRvnot8SLdTaq9g55bzBtRE0O3MdeDIFjHGx/S7hZSQHJqK2Fdohr46hie
usK/3cE9wBKYMgaj0RM4H4cJfBS6rcuxIbWkK/5h4v3f2PovY2vTFOug938eW+9RfKdfX38cXP/z
3/wzuPbFf/AnhDShKzqrrBvM2j+Da99b59bu6uG3UG7bHgPy/xxcI/kWHAUDmw8gLObd/z24dv5D
0l1j0A1JyV3DG/6VwfWq6P5RZ4F/TQKAM1GP84/iu/HhB2NDTJ+KJ5vy0LJUTIB8vno7MTMFlw6l
McIniX0jJ6WABZlz2V9UHu90F1AVVnUuQnhG8FhWVn3uj7aKtiWcknR0dlrmf6E3ly6+N6vYEctc
Hn/4WX4jZPntpYhoAgHsOGss6s+X6uyMtZI6/+CYoFsLi14A3ZYmhIvX/hvfilsZ2C6IOqTH71wp
i6lzppbOcCi0Tg8aOMiuG4Z8O2hPnf78rVZRwQ8/3/cbaPOdHGHzUBBy9fO3Wg1TOU354RCkEWDK
2YLbo9w3jTErriLyo2rovwjjsTSBd9n++eI8g7+5OAq+9SkGwvXuew46iSK7IbgSk6dL+0KThGBy
PPjzVX794aTFc4kzwXEtzobvrtLHvs2ENFKHLsB8yLNZ0fiRDGbGMGtKmgd/vtw76iR3VK6kU2EB
8eAx+S70/uGFIAXK4jQ6qAPi3wEuUvfNs603P65LuLblhRvhY/jzFX+9jdKySBtEiwJU5BfOdZSg
yiNuVB1g7BLAAwSIHyuowz9fZb1NPz8pXAVVChnFAhGfvd7mH76XoyLCv9tcYWIeiUI1jEvUTTez
iUWOQlL+5Tv97i7+eLV3Pxqs2biNZaEO/jiZmwjcRjxSLzfZ93ZWQOWc55///AWtlVf5/hui5HFp
O0CEhAz58zeck9yFK8JrZyauc+PUDs11sY5u6sU/Qk0Ayt3ee8RCbVtkI185ZficcO0jE/D6MKpg
DHF0ocyYvOaL1jYCHJfATwvj7cPSzWRaMMww83b5y8Jk/ub3t4VD5A5uhO9CpZ8/t9+j+K0Z9x7S
SSEHcCgCyU/VcgxBL4Di7k2itfx6Ivoxb2i7aecTta5Gkek316TJ2dSDcXBjIl75y7sgf/vRWJ/X
Nxyr3XsEaxYUsAVlMcCrTEIrSuQu7ZJ1uO8OYd/G/Qed2giJJjcodjWt/rOuOOAC6RtzwOSMn0ZR
QWHqMyy6yCRsiHG7qKKyrqx4voiV1V1bWN5PC/LOXYsmeDd5Em43guEnBS7uaRj9aBtAnsO+a3h7
27bo/dmdHxJSdh7yrsdAUJBEGklikgt5kTj5B7BNKCkdmlYzMRP7Dpw7nbXhhjYqeRcpOXGzg4BW
Q/G4BGyyRtO04wEBkwFXe37LZ/t+8GlcgrbJj4ObDDf85Wr/56f11xfEl5LCgLcehdov9j3dx1LJ
af3R++SajM8EwKw4mal+VEvUhEyVzX/5leSKksVaCsmZO3j3egSdHv1gyYdDF0Uns3dCwtq+BJVz
2dmQFWGGffzzN/x13SYPkdUGz1oQUPq801T26EXwvarhkM1FQ/ntTKeYlkboo6LY/flSvz6mPtGr
riWgrArbdtf//Ye1LVZyzCYwxofAH+VFbbQmUey0xf6NqziuT5kCZZB7+PNVSvoj5TBxAw23E92m
9QLjCNnQv/3zZcxf1zG+jW+axGbhZmc7+vk6OZRE021IH9DarHe12TPo0sTHuD2CESei86xtHnxU
szSP/GcgdIeaw9nfliWby/y8nIIJx6VIRBVAK3yHP38MGAjOko5ef3BIYMcjERR7MJDD3pmG1EfX
vzgnsyIjqRP1t6KevHvG+rQbUEddlctinzmpRX/5Bd4nZrE585k84jpBVwfUrO+2ldgxDBy1dn+o
YlWdREfjUWCyXqqhvY76Rm0Z6DcvBRxEMsmN+UYxnt66SMF3eJ1rxPjFt8LU43XuQ3dZpk8qMxjF
p0PzMFdMFZohlUcZJ9O5motrQwx/Ky5+/wUCPIdIgKCxrwkePz6pEBmCcvYnbmoy38ed1+zV5MQf
ElaxbdMCR4h6Zg6l5w7sWF1Jig/c2dR77Ds3OClkH1vtd2MIfDG4qxevfvSd5dtCyuXZ9rEuTE08
Yy/KDPaKodhDJW3+siWY68/+y2Pxwzd493ROQ8EHrmeyMYwsPkdLUJ0RiRLAbIjdkHYs8grHZ5aJ
E1K8NTmNJvSfXxD7t08mIm0heRlJ3Xr3uhPR49DMUP0hM5K1F1748jNl1a3n9Pg4A/G1Lkb97Flm
8gVw96BG4qJqi3wJO8FRFPd7i7HVrnNR6E4AS1GpWAqNGRc8kMuRMVCLzW8zOT8sld6DhylGigxc
rxE8E7UIzWmU4pKE5+K4oEHDYQXbhgvFzvdo1qCXf7nnv5ZuvstpkHCVNSqO09LPD420fC+PsIAd
2qx4riJwaaRRGQvjN0wr9l/qxN8s2y41MCdPx+MPi3cnCga0oBNYdA5NXL0xx47YtTE/OQBn/3Kl
9S+9e5K40sqsd4DXi/eFPS1lRQNW8iR18WNu2vEzWfWrK3fmNCHnHBWVcA3/HLkQJv78CP1m93WR
gxM3YLMxUXj/fEcZ9iJkBpp2UN78AnL9VnstcfXRW+ENnznyun/ZoN7zA9aFy4XPhxXF4sDtvl/T
g9HodZryyHIMr+6VTd2DvHu3RlNtIYF9AzX6WKeF3sVzQ3FDDPh27GMmYVQrf/7qv32Y8Jmzs+CO
/sWomqphlMnI+zv59bATDQQ6B1Y0YpyaoKYke/vz5X6zNbvI4VeDLWfvXwgNLvSyGA83PzINvgMj
+Gi7kI33lzPib++vSSeDJ4nbi6j/5x80680Y+UDTHzgjkyI/auQNVRZgUvSN0wT2mzko4xzUgYS7
RDE5zKNZAJg2LpbF/dsa+euh3HdNToUcyh0PH9S793VCI7kkPaIEe8RABGQetme3XM3jHG/j0jTA
g5QMvrzBAruoxF9eq/dc/O/PGtUQN3uFfzjvn7UhHkHsAtQ5zKaTfG68zpBMUOLhpmc2iKTNrV13
Wyv+AGQhnJLIp9pCwlZrmNqRYg3/ZAI5hOjKxidlDYMy1wSv/uufn4zfLDR4M12XNYbABSaUP/9k
ieGnpN+57cHVUbdXDixch5w+5K8y/cst+c2lAtZPpj/05X3/fe+HaRqSbODAhwGdz5tjz97dUiUl
hEFX/BtfixoUHbu7ttR+WdXIG1wYRTvtQVppdxdI0yUW04susm54/fMN/M0ixpVoi1AiEn/wvlNh
LVHMXJcrpaRU7SLisR7KuLVCdjeY/RpPh1Mn81+Wj9/eSs7XDqMyHD3v4S5xLCoCDGR7gOuMhVhC
0kkRk+46Yf0NYgMT49cdgkpDwKOASIFD992L5Of4YOLF5BFxOtHu3XkemFgmzkRoYBlVcLO63tq5
1OSwi+xxMvacHJUOEUva5V3pS16u1KbHeIr6uXiymhHOc4dTRe0gC7vpBspF8loTV3CVA7PpMRkX
+A57KJZkafGV7HXGCO0+GOVkMhgX9nwhjSQ4pLCmlxCrR5IBLErMR1dZi8mYU0trn5mldkM7aBLr
YzCZafnNzWiWxJuGE0xyoZMO20SX5l2CO6c251NR0V07AE8vndAQjXlGGqeNQ4+Yob+WJdY+ZtJq
ju7cHuj5Sj4yJsjUXZ9jvnaCnLE75O4YPlUlSW6Vdp3tFWivh9HAL34mqrI+mh36I/QLndUxRUbW
zih2VfyQf3HyYsRlW1/Vdb6fGWzHYdnMVXeJ1sNjTu8GzUTceT9BYYUgPetdPWJtuChRMQr6DmVj
7RrkhRRXKfasVw/sMySNaNDAkTAPPqCdNzzC1/tsviWilZF8SmZpOBtt4N2LuvTjUJEVrk4UsXrf
+jpIsZrGJD4AE1mWbd9nwaHq2KLCIlrbf4Kgy3zTMnz8kCWo+nRR1jaIOvTLm6xpJD5ZdUefd69G
2TxHjVV8LAxf3A+VSzoGQfZHY0bVY7fBjSrmFdm219i+7yMU2SA6QdjDpD8w8pp2QIvKfazGsz3O
qNCa/jXLsWtIZREEnml7D5L+q2MbUzgyQuYzdN7B7VG8BU7qHhykAhjhEdFlJLtd9E6jP3sDLGlC
HdDGe+Pr0rryONpr0rueNzItnohqCl2YpbcyKLvQFFWKZhnZixKpeeGXRXJFsATuBo+8D/BrT3qx
5UEa5l2aovCEBxqdosDJtzrLFUUF2WMFu8Su773lLi/0qR2cYcPcn1jWJb/J6S7pyenOudbWbhE5
SqUBnRWhqiPpS3l5MdmMavllbyPfuQf2DlFz8hOsYt2yZS6sdpE1W6ukUNxHcdF8wi8tLqvEQ3c1
IDzVYujeXKOttsSANjufhvWB8DfJlAoutldF+mSL1Dr1s0d8mh7PFvlIqWxMMurnj6VQ7ccqjY5Y
hx5SNX8E7V+FkwhWCxWpye5qGQDF6p9G5YGMM1qiCyRhlYEfnfvITnduXPuhyBygiDBlNk4WMIrk
3HCfdsZ428Yd42+lV6l3fznMkbeyE/E0GNW3HhjcETtCiiWsJLmj9Mc3p2dQPqcTE8gdZNMBH46q
24oAqw2VZkdmQJ0Gw2Ne+7jDLB6e5xJQlt55LecINlMWiSzG+0XuXn7dTjxl2Qx9wM/Nk1DxTI7D
UBNZ9//YO5PexpG0W/+Vi96zwCHIIBffRrNk2bLlTE8bwk7bnMcgg8Ov/x5mdaG7L3Bvo/e9SRRQ
mR4kkXzjvOc8Z/YhE1cVpjFe7tC13Umd/WmIBvUKUFgqLJ92KIZsMyu7fTUsh+ZfUhgrw+Zn3sM9
rn6Ncs7qg5Phd9sUfkuqb6os6Z8N4KKQkKWPcykn9WackGdNhUjbJIe25ZVadWBRN/BH9Y8YVf/e
zlP7R1iUWXIcUq/duvSF3FkkN3bY9vFrjJTInuJEmR+eGTJPBgR3t3I285uah+wvjACRh/Ewosdo
wIdNd6LyHoXOwu8Acb/HV+QR5PqNLJknf/zJnqn4but2QfMWynqjwKHdcERzL0Fp16+whAccxWra
d0wsP/xJpK9YEWiCMXLaDzq7Oc1g/9bJWBIAExSOosKxBkkVwSIqd/gkELdvXnAGNr+aWmS7bDSa
F9nYySEFHoQTbeyyXYIt/BkOEM4GWQ0Ya0O36Db9vADV6FZ2AS4Db4g8z12nDFxHihQAZiMhbzmV
Bu0u49xUHIqaRqVVl0T6qQmHpbrDTSzyQsShEpJLgvRfwWrwWJdxvnwGjeEUBWn8CIopx0Dd9pTP
8HIaT4TC+RXl0kx2ExFfOqRepp+0PfbDbRSG0SXxofdWJhyNCnDIWcSCr+rUyV6YifeoO0xhKyaR
5uTVcXyBo1+/Id3ZW4Qz9xK1XKrbsirm3YxvFHAp7ts9QdzoQhJSy3Xtxu6Fi6jhouLdRYRvThnQ
p4uEuvHR6qh9EDPMS5XweidpNu1nSg/orOVFNVoxYQyxm4ca4/WHu5ww16U3s1DPmjSBT+AmBxd/
Mbc9ir2sVjQ40dLgPGtVf3RT3b7omNd1lrL5VVkRrty5B70JOrsITxFqxL4POvUZDMq9UCxuDEDO
g+gyApjCB+UVxfRJ94nAfUvXjyNy/ENWOJ0tHstY0YI0WkPwbugYh5lccofqcUs2lWn9qK3JvSRu
Ff6svTi689y+evOwc2+6PsYIYdOpRNO0zxDp9mAbIlJ0p6k1w01EnBW6Nr+8COT404fb+YatJ8HT
wb8mXRldevoi51Xsu0zgJR2tF+E0+bHNluaSLkDE2SQZSJK46PgLYCB8PAdD3m3SuQY5MHOdI2OV
6nmaEK19qdWnjIS7DsMppzK6Wz7lfVwTrKIQ5TEpYv0kqq6XuDz5IXPXzK5+1wJYT2Pv0QjmJl/V
5RBfJq+gWFrB+3rJm3m89z3VP5nghK/J8nbbePfPLnyOayM03yiDzolih4WWISO+CMWrhrNtuieU
N32bc5XsjXGhuSPah1eqUcSxoeX7jOmUr1jNhKEtc/wZECj+xBdLKecMIyzeGgUeHlkj860hOYfV
Cr0FF13pGRjePKMCHSRI/hh01nnhVdB0PBNAwtx9LLQmRh33fJJmXMfcej3BJ417VnzJs7SysMDP
1b3hpIi4esoXZ6zyY330nAogYqC674o6WErzzCJdN8XQfGOrsp5ERHWDHpT1RWqb3i4uveaBu8X8
Xdlp3a49uwTu26Zu/0V1BOnWkL6Mg1HXvCyk0Fq1J9NhtSs6GK0fs50b16AzuZtJT3+Ntd88dGGJ
8N/Y9V2nJ1LKKcYtq/OjS+g1yb4LgJQkyqeSCa8O1RO4Do+lEXXPYPYXfrlBMlpzoCzcY0W7zjcT
tbzlTBzu6j5suYlR+o5u2jk9C2HHf5uV392FRR3tdZ7rg4BBe2x4bJ4doDQ9AeMoufeEqnf01Kmf
ba1pgwH/0JGg3tUKU9wm1LXz4QaRuxM13Ta1gD1tOwSqIER5e4vXa8VGU2yyruU6pPxqulpFO94z
hAyrUqThk51HYp0b1SM8tlstF9KDaSacZchkDFRv3TXoP2YfazCgdcu3zbyLOdBdE+OL3nvOzHrd
TIzbEWLVpSTf9uiFdnUMxoT4RZcU88oqWTY29Dsc3aQ76WnKNwnX5q0ZDe25jOQCEy2x3tgOI2DA
+g8J9T1wqUXKZDles0o7nzoXJwCnMIQnWhxnhzB66VmwajpxM46peGbeNkFvj9VHMCx7pqrbxSjL
x4aoEtuymIFUp9X0DHc0upplPOzkWB+8imRAALIxWiXwofxhfkf/K16zgmpbnjm8SDbeUG70nHDW
EgJlvE6zTB0zwyQPHBpUTBKK2Km+Z/Fl9ZgBp2G4h/dlgoJM1WPfkFZ2hiC69opv0ruhvO+pclkh
TE8ku0LxHiSB90RBV35IEvk0QvjbI5fGzIGMcqtiqZGtkiG+TXyEm8qyjyGlxR+xGQ477RvmvgP8
svET6KqD5mJUddytBuKG22iavBuGC/GcCndfumO143LiBlylnE4jj77aIA+CbwLP9vNYC+suKIIZ
10IhftTxCB+YGXbncu+6KUKVP1mulA+T5l1yNb2fO8lciP2ypZ1yHOuvmVUTgYuoS+6alI9BUgLa
gXta1tzW6gl3a5Gq9QiAhUIxDLEzzrReEt2z8Xa9p9MIAmkoD/B/c4JRwqDKmKL42bSfO8rDdlyK
O0peADCxY2Mgk/1dIdzwJwFixgyhdxm3QPhufpdcfROmb1Y4/o2allC5GW9jN8e05rTupajdqlrH
Q2CxtMiJNEyVvvVc+NjMaEbGBeeVpzoaU0rDnMVBmtLsBvOl5FiaGymXETs0fRuEXfpS2MLbuxYC
PNJaxRNrrpE0+sQY74PQac4TYvYCxCLWtOpbkOrBkJhXV9IvneJFDnW31r7KbmEnVjeqpH9OiQpW
OAsekGaqA7sINJp00sEajeAlYGfKOee9rcqlXs2d100Nc4juxxiolu6sFwqt2mNlyw9r9r5CfIxv
TKz5W66oLEyVMn7KnO43gtrRtpN98TB5TCz5BKwZDxvU3GikjI9xaDxou9DJyXCqQWy0NBXZxwwA
BzcNr7oYQ7S0mU2yuiDfgAWyiY9VrAFybkLEVdO3okjLB7vxiwcvQUdeJRM30DQeus9c2QQUVRp/
NiEo8bVt8AUbXAAnl+zQI9QZf3hpmXh43xIOOZQB5TwlDM855rXPEyUY61eelmhnc24RCokQJI9V
mNg/mI85mWZFLE5RNqpP8rvdp+oVIoKa+uI7EyWqgpq78M0k8fWR/W4hqgS9XQp4+5udtRzCRZgY
wbqeQ/VpuEQgyBXogILpzC0fc1IavEnxOFQ7GXW62olgQNEAkcnHI6Y2gthYSXNf7PUkMIKoCt9c
y+XfBPVIrEKmQeZuRGnyMSodsjkbrfgpaaPCLrUpcWlJDjEj3zRNRKluktntODeapbYIh9TwwHcM
r3zl2QCyfBQD8uMmFsFkELteRgCs/QwvHKaCcwoipNx4bcHQmodAS+if5FG3zseemEarYyzXfQI+
jAq54tvue75r35C42Qz4Od/+fDFdjLEYtFlPguFSJs40ac1jteI8Ue2dwI3WJBtVtkYL4qWHQFM+
uvjHyn2epMg9OAswTJfZmB1qCxXoYpOYt3adC7hvarvq0R1wVPAWsm9dD2HD75dJFz2kJZeR3ihc
DEApJowfmGo7/a09tNFVb9MTeuvRNPIjm7S9L2nVeC7od33IZNBA5yN19AM6mpoOIzJ8eBE9v/TB
1iY/I1M5P3VShrx5tKuUBvs/4tFr3hOuXbT/eNqgy/AqaqPj789Q1z8TTi/Jih82OE9Kq6+EfDVx
2L6lSq4PCAhR8JbY4zo3uX5IFrqQAUv0v9NAN+/CG++Y6NxY1OnR9FpElJbdCvi3JsH2zTXFgZuH
MM8vQCEmudQSviRNoTMtwpdYOyb9xoyQuSxh0cN8iX9asBK2TV6ZJ3bS7WEoegCDkT+CqMqSp3mO
h5/EPfSfa7D/elD/nQfVxt/3T9Lw5r17/z9fv5vD796Lr//52/6raqN/bf8GU738m394UMEcYSfl
IoQuDID4Hx5U9w8PPxiXNh6fxa/I//rLg4r2S6isi//nb475B4YHQtkuFiUcAfZ/ZDkFSvwvmz+O
PFBa+WImEjLqtbeIzP/k1wAFQKVi5eeQJ6LXIYvHVae4D7EkfCFj9thq41Auuo9fWC+MNNaul9MO
JNupWzQipnr76AzFdFSLgkQ1knuk5oISzsmEbLMoTZ0O2u8pxAVZLTpUtShSxqJNsVI2r8ZvvWpR
ruDQM7dSYLMLyflt+0heSQH794RcKKSgt6AciJ6iGSxHxqbZKsO2N9OiliFqrRtdXCZlu/gGUNRS
pLV20dhI/rubSg6SINDQ/7CTgBTeosoBA0DRRKijcMDdqy569kSBM31R8+Si63WLwpcuWp+5qH6W
pxBbFiWQUX4rkAZ7JMJ+0QqnRTUskA8rGi1xROmBrl60xWRRGaHKzCtnUR7rvGFEWNTIdtElh0Wh
HAi+bXNEy25RL8WiYyaLoslQ824zQS4y3YknBd2HCUJluiihc1dGW95VWAqopAVyaYdsispyCRcd
tTea8VA7aHKjrKxrsOit3aK84svZFcHwMFtdcc1wvZyT3G/hOrDRphWrz2/b2omGre1r7jJlk730
nBgfWNSLo6OMbu04JWNwHen2sXGM8BH4lnsjsolnmlG47YEao4a7Tp3ctVU+vIQBt0uMqsHTWNDt
s6qqHuEGaM451gFFjwOgU2q1/Qc5DNzncoqI0HK0e+gcv36VScoTKpU6fyqzErhrjtJv2jlVmeXv
J76VI5BHZk2Gq7HJ7SSOxYsX2L3FeRP9QNl1eWoBP5DCqczyRPsyU2rjlxLCAVW5pKIr+rZNlL2b
iYXHzh5k+iZt5ovNGNKJxM4ofEoBADz6TlhsxyKpHq2ssu4cb6xuxPIEYNxN3+o65IlAfpZHVpLN
FnUbxrjtEBrvSXmAN6UStAQxI8atAme1n4eiPdAYzHbdxf4JAsGncNx08qcJmeuj7aVzNCj6JVqi
Ol7VtuLvxHq85wU01gjTNDMGWBR+oBVh8uv4kngmpn5jltF0b0MAe3LJAWYHV2l++WaKpqsEWpys
isrkFOX1TJiVS3zUmXgfaj/nC1oYiJstSHDA/ZpEydgV9StBl2SfgJFYLJCceGEykZ2XcZc/Eb1J
7mhG5IEIJXxv9U795Y6cJ8O+Ioq5/GQp7lx/B52GL5+DhXuIZlLoPOZcb+2Esf8gxkUaM7riO18G
tdIt+x8qFSA8vImtaLL84r8Pquxwu58S+sA3DY2pfXQ1N5ENNt0JlAgtUekg0rffn7TU7fhuM3a3
fmVNnFeScQhAjgfVZagD5hyGMzROBJYnxjX7eQAvBOSnEPKhpUTmWGXheLWY6TZty6nEjnopDrXm
Te17ui7AzPKu2eBCdzkMhM9OxhR4mJVH0M6bbprQsq+hmfrXoTGKbcwnEtpa4IZvgY1ONrhFjLwU
jnwh7fMd5URdch7FxmM143qcPabeJuI0VuVdsP39bgFgqB6TCKDBWmVh2a0tXJjrKuWVm6Rwz1az
dHXA34014jpfnuxWtJb5yKd+5g92QK8UJExru6mSNXyWO1XGd7qZ7mkR+aEbZnXtVm8lBbBR4YEn
8W/trudcH93H2sxWeRcfirT9dofgJnA4kXRMxKUtr6NyOD3E+86bn6JWeRvXHP0zLW3c6EJ3mykD
YspUrSGiVdeO51i/shdftZVY3pXpByBAat15mnt4ZvnRxpO1Qz4R92NSwC0aA8o3040Kq5NTyvDe
6ozxYo12uvOriG0NWcd471UZJOBAi+0E/Hcl2SsftCb62PlZE28MOlrLaFzrxv4C9VHdNHFS36Rz
r7alTegYm+2v1uoOpe8+8JjM15nuHebSKHw1IvtFGf6vqcdqPpeUYeeadqFiKjECF8604eDMMdJu
bb2uPa967IEkrnWczp+FdhnX2L8tvoNd3cFHS/v6RJcYQkAXg/eYeYMTz9qNDdS2dJgyMh3WT29i
aGdoPWbjVCxwHudAxyAEa7+vt2OZhSsz6DmO0rlkEHRtTFLJY1mZFDSa8tTywWd74ZkbV4evplU0
a2jBq96avp2pvtaJL78SGw2M8lzzTSLabaws+9FhaHyfJsPZcq3TG+w0lCD3hOpoVKUjMCBgvNLz
zP3A0fkhSmeH4dUnNzejLgXhY1Ooz3jqwq1ZQptimToQ4ohYxazJtS+opLntt9TXUHJpeSC0huyB
j1W7pR/NIqQ/ie1g92XFrGukh4zSuI1QBuwCy66/lAsYGCweqAFiZk5dv/d5RX7fV8EmtfSLGUIW
NCue9gFnCYyg/S+iGa9N7OzNqQnJcdd46x0y6C765pq4mHHbCvdniPuZ6jgIymlSRi8UdxOpVs6m
w65whj5OAjrI/E8hXX2VnLF+ZlOzzBAS+JUS3nQaunBAkbQhSOBkSX+msufQrETxpUKZfqGX5aeg
JaQMSj1kPWsgSXhi2GWKfxuBywAma97JMK0eKF3HZhQ3TFbO4gypW/+u1vXwBp4qfxtsy7nzOrIi
LhPWipj2vMm5iriTdwnqcVzCtQrZtwWEHtPoTItjZp2UHVrjKlYzvPqg6Xd+1BQml0T01HmjcfHg
Ua4zB8GUN7Ey1/QOGludpYRt3Rb0nVVC3q0at7ZXYh54DI59dVdB2j8J9vy0wLlLC3sTPgV4Na/o
S0m6BRtIfWQXlMZdF/nukUkhA8lQNdtkzMN1PriV2Mbt+F1C275YRdT9HNpkONSxbJ69hmx5zr1w
w7GQs60cIBoL4F74rY5ZwRSGimyczIobWG3ZzaHCp7amrCdl1zOF7L0sqHpNjg1C5B9S5XBr2nC4
ZJ5h3rYh3UO5U7X7xsbe1Q9ZuGZmuB3ZymNg3VMOwznYn1/Ttq1qsEqaBfYAH2O2MmuVxJRDUgdG
h0Wbif1MseuY0JHastJagVdYisiVvp8XMEumK8WTS/uXaWDb36RqYF+ZGa8OnX8w/tXXIKHDNN7U
7YLai3Z9HtYrw6EMr22TBfA4c4ljql92GFeeoNWllGC36qCfoDySuXXqcT8OI6lIZ36cPEfejYkN
st730z0Oyb3HERMiQbutdBV9kVDeOx2PPECoORiOtKfLbxxPiSau36cqhI0anpOouYrQpROPOClt
at4IshP3KqsNI6ZAE1n3GmTcXa0b2QP1XnI+cW7V+6wY0ujB8VKCn3avBpBmahAaSqNhRDwSogYC
aRaY0YRQMOTTeByZf+ezy6gCuCIqMnc7qZQQrV/byHw9aEY6b3XfV5vCg5+6UpGOaSbMfDYRKw/i
pH1YcEScpR8MM9C7ogwWyacfHkM5z1trmtVdlBIkBiwibhEWXprZIapde9ckqEjAz113jdlakh93
00sja/cDRMpEeWM5f1jK6m6HQhq7xNJfLcV128G19a2vtbORPkKdGDn9cHRX9wg99hnBpblGjCpb
O0RypZ/rjahbCIW0T9+HLprYhrSCQoIwPBVAA0g6m+Y6axQ4NQ2akVbPmEfl0gnaiWRv+hQPGMSX
3UzczA6DNrLAp7QHvYKh0955VrbOoQDBgqNPoUuC0xQB/Nmm1jL0R0goHyZi4afM3PQ8DKVijgcc
4ECHOVJZ8GgSqjEh3OnZYFfeZeAxQzjO8yyms2D7/kCN9/yct2Z+q+LiFwfQCDCXTd3kaugWjaYM
qY8t419NUfDUN5riU2pvuWeFXbfry0TvWstsXxlfvK3N5uHawX1cMwNdnSR1L3DvI6oB7dw5mSJo
NnKaudIo/nzy+qG/aWoQ73Ou4UsCNsgvGfW6Lo4VJ/7AEAJXJEyTcbd0D2Y8B9ulCy2BIbsa8sD/
9COTG4eOXOvKrsF/7vByv9LoWn7MMUtY5HlnQTuVMoABaw7lj3JZ57vLYj9cVvyKG+PWt+Zjsqz/
68UIQIFodpcs5gBrsQl4vx0DbhnT25CmA4QRvvmliRhK0t/ugnIxGiDaLaaD7u8eBKbnxZIAkHYx
KDiLWQGVSH/Hi4FBLlaGdjE1jLgbssXmoBbDA6r6OWv7gnMWZgivMPV9tBgknMUqkS2miXmxT7iL
kaJdLBU0h4V05yY/OfiFGxnE1c5IsWDkv90Yv6WM/6o+/0714cpFi/l/J4+PeZ6U2Hf+JXr85z/6
S/aR0K+x+RLg4CgIFOwfsg9F5cSAPH9JUgR/TyX/XfYRNv+LAxZlOp7k6wl8h3/JQLRNeZIkJuoN
jl7T+490IEJ//5cOhBtaItOaCFCLWXWhc/+zDpR4iUhzS8WnseEoyygCfc9lorypG2mo1TRaAqMU
dxJYCuynF2coj1Ltuwww0JWaQwv6IFz7Ve6d5lmKcJvrCr5BZ5rjA+NxIfZWSqPTQxak7XPD9sCl
DcaJgFyBtOMitZU+c6rywXxR82uv+sKcUUIwx56D1JPVSg3tDE577hYIcRVs51w6LR0ZZF2pwKiw
GKmw5nYJROaDik356/epqAPVsI1gM5aruF44XZOPhWdjRYOwz4ENi04FhXc7CE65he6vCj/JTios
8CvqZSiRcD0reazTdHoYY7O7ayO7uC5H/HIrx8pgDeiPkQvl2ASb56X1NXdrDsTR0GxZbU+HiEDe
ya7b5MaK/T1PbHBIlBxUO7fkIGyrmJ1IB6vQgrjIZkt00n7OA55/idPmj5aNezGIxVvEGvpCo1ew
wd/k3Pd22h41BV+b2LLvY29WG5w71IdOPGlGSmnuHWnkd045XF1zUGs3z/Fo1KOMf7GVrfeCMPKa
22h2YxUFa1hvbK66dSQve5xEt6xKxN0Qlw4/Wz/3Z3PYNnZV3YV1W3yn2gt2mlDfTrmkj6JWqqvt
BRQu84iwQpaTnhE3LKv4g9XUc4DMtmolAO46d096oBJS4ht6TFvlXJ0xGG+cWg73eJYwpWTxR0ro
9x3+07CZo/EmN91p47IzW3m4rBiCa+NBV2PxmLdZAQspV3c2mMN1xytCT0b20OZpd2fAWlsnXLE/
ubWGTOf2eDfhHNvUmEK3lstParAAhngaRj9mqsxgkPsNO6S0rAK+bJpySAHvdwN4xTxNZv+Z8/cv
US/yB6mBmmwQEYOrxBv34COvQ3EJ05Cb9jzfiYVum9baoKh0rPaz0ZdX0+YTLb2+O9uZEDcTlPa6
pb3c4mN/WxFLf9Uth42t0XXxSaSxtcELlTecX7TYNFk27HsIgzujAUkNCuBkxt6t1qph9eWBnm0q
Wlz9FAY1vUUajDWfQcx+2KX6EOXOm7sngy5dDgVXnN4m7MwboVn4MLdz9OjT+9hpLwa6jjW1wSbI
xdVqzHxb+vUvVUt5LNLqaVoSO0wfb4Vsc5BLNgzuIrFvIEWzM1neqenTiJhpqwWKNffmMxxLTt+0
1x/qQRu3A1V82xAi3SY1xSs3Q3Wx62LcGQrmUJ5F7nFCzXgS2ErwS0q1KUIiTAYTsZcaJ0niFaKW
Dc8ybLa9LNp9jvLHMvM0d8m5gyq5ajrUWISpMgQIjoIO2EUUhF/TYjsMdbLLhnRciyxVVz908ofa
d6Mj+R0MfHPmHElOjg/FmM/7sqNkeEEN7eds9G5Fq1nr0kvbTjQKbQZLDQ+D6J44XRsgRiaqfYQV
l1xglRKDyYHfWODFjQUj7H4KB6c4s1i6K1r/o6LNeOt5c/Aj5Vy+I0APYo+O8vvJ8ZMLw+V7KWpx
dBsO73NivXs1JLFV3Jrdm2r5lZdWwE1b5/ZNlJfFjvAQH2kT9J4uxG+gYH4/cdtdxeNSo1e1LLhl
Ob3NfUC0IOT+zIDdnZNpnN6CCeIVtgKzecSZ81iaHqYrivwuFWoc1tsg7+v7iBb1owPBkAySLSR9
vK42WZym1ZEyeaxASdkRN67L4Nql8ruuzGEd2Sz2htinjZo8I2ceTI4UeXhlUYXUk5BAoW+mdxfO
dOIZO2vGCujbXbGbYnav3NxxOI/9U5xPyhKHSZfdiTqyuOfZYjS/MgP3BmDyFD/5GA+2d8laHxMW
bTP+IeuB4pxH0XoPIw/sR6cNuUSygY/esUUFf1FAtU7xXExqRVjb/ej49AMRIzoary0jlAKLWi2v
DQ5lexMy0J4qeBknSo2NXRekJYDGpjtOGNkvcd7nj5jJHLliSSL3MS0lwzqYh/iVzIHaalsUByuJ
4ncfxEFAwSGjI8uHTpwjp4X2JEWNQXMeiMXr2uf6cLTWKzYKDOPc2r/hfZqAMYQN21MrdT+NNi1x
klVlu6KeqObIhdNtXOJgPZRWp3lvWjN55ZmM3swe8JZzYnGhojj4Nse4x2mbh87VYJH6bGT5fFeY
9G5ZXv5VFI4H6jhwE068TtPjToGqH2GaPrqVPhbcbdeK+WHaTCDaYOOGvIrECmP/qdeTe4YonH8a
qZly0ultsgcekNCHsBHeE8+RYFuPM8fdabKNNTJKHZLctyhLbZNx/JUlSSC4GUUIClmpl/AX034x
xcZ9Qi8fYWWnaF/x5WZ3Tl5HEZ/iToB6DIqZRVOTfYquyUBsspFXOQB6mmPCY2ZlBfpWzMVK529z
mRs6vNZqAIm+ojkbNX+yA/O2zuPh1QUh9hXC4n3zBeaRkgJusihREBFib4Cytlaq77HysxJ2VGv8
EuYEqgETCGE8bF5QafFEHqQx1G9BNJb+eprD/lhbncO+JkkbsOmySJ8bPxFw9iunu1Jsxw7LGJ0G
cafOj1xzrI1726zpEQBrCcMwDraObM1XCj5CsS0TM6NKSRvuvs9Fcg1hFe7Zz0uKuPoSid8XKABO
nNIsZeli7WS2PANGa05W3MHirIW5mTT1YjDQ0e/zel6Sq2LbmOhH+C6p1APvL1Ykcx6sXnUb5brB
OTc0xxDJCWkzyrQ+KikAHBV52b5mLWBMqrF7Za3Jk1UvlOjVJSj5YGrwODbzF+EI5zY0h3rj2N4H
EOTgp4zL4r2KVLWjkEznG27xgH4nnXE2J83AHdEdJ/OYEFG6DWYh37Tb5khENYK2Hbl0fU3O5HzI
oY3hFlrOU4C6Afm4cKAvAWamlaOikIvVN/+Z0WHqH7DtwAqm710vmDbrXQcU+NWlW79FIuwe3ADJ
ap2ONhDvmQFyG5lDz2fJVFAnS2l9Bo3dgDkDMGucOPCFL5zyyp/Id57aOWU83vSqn/YaViIurRYq
Y4Gx/JgCIDXnPnlpSnkXTZCq4kJj7zG2qIvxupy64EF0gUnHl4g2UUCR68ZlT3fB3mKsfCuSe8oQ
KetyWy0+ACVQiiGqOnqiiF0S5y0GDoCW4VjQulRi4t2KojvV2TNi6hwe7TRnlyBAkM21k+960+zP
lhFvvb4tvuLU7ont9J4kBwM/YqXZB2wA1LU/I1eGH56owp2uKJ9b8W7S4lK3or+N7TGjhN3JEIZD
lxN1AvhNYPUX6WeNFlOu2uWP2ohzbi3OcFuR5XnOwzH/Aesv3ptLfRxIuv7c1iM9BBZ0kJusLYJ1
ZDIjFkN08vGPql3ZNj182QAIIFSK7EWxAW9XcUhzCfh2QO/bura9bRPO801mWPVpwNVx5jfMz7ZI
kl/hnHSsSrsOr3ejd1HglMcmj5yNnc3P9TQO/dqyrfY9chp57zSN8WWZSfsnB+i/p+R/f0rGjPD/
OyWXn8l7SbLuT8PE8fN//oYDYvk3fx2SxR8yoAZWkoVF+pZ4Ef7Cc/l/oIAxgRHW/33Y5X/9dUa2
/pCACGBJSdcSf+ZN/zojyz/w+pFZYyb+e4/zf9LIvJy2/zklDRPIsfgpcEtw11rYE/96Ru45rSVz
PBqL83KE5J4DOU7x+2P0M6loiNl0kOxQEymp3tDDOouoj/Twlt3OXiiAkYL9oZ4y0Z+yt4rLzCrw
LTBTjJ1RkOGR5F8Vm7EK+QyXc/lWuKGDS8iyL4jlHq4GTmi3s4VcTXlggT6ngtxjQes/SlxE13bs
9cXU70XVcs1wsHzq2LW8VlmijfWs83LmQFLT/JV3xQjKBkIh03WE52AMSuYIpwOysgVonH3EXMUR
NvECL9uEzRwlcErYTDUjd4AcOuHioXC4t4Sz2Lit7UMwgajOkdIJUmJffursm2Cx5cOlis8Oe3x/
ywMrwSpQ5p6zhqxb/Vqcy69VZ853vZrMde/k6iYK1PCLtEv5SskFZiyGmekmGbLmAYxo9G7HNifj
1K4Ix/Ysl2mpJO1nIrL5w92Ms/XedaYKb4Q/Nni4ikEC/kqyO5/epwdIM/OunrrNpKqjlAO+ZCBM
a132OMHFtB/sRN6zUQ2AWDvFr5HGQ8axwr+nJ7w+YvPsHp2J7USilNqCPXAO4VxblNwbWXlyO+qx
UjpMb3AWJ9QPgQo66TnHpWZGGLNXidvIs28WdrlujSl/coq6fwQyxCTVWyR3CBhaL9CFwxcg8UsX
AxzgklqN8zAjkINN9EAMTGI9jOF8niOrf86zqYYEjJ/9PIRtcxMDXv0O2mAmBzl1RrZRsMsvWpT5
tm6CBQJOzU+5siypbznOthYNZn323vxWkDHyugBKCxaeNoGUNwileb448Zp6Ra9ndF/6QWkdgAok
17jOnGc7KpKHYHb5bhD+20cLHX/XN7G4seyUQ0LcV//L3pksx42k2fpVrvXey+AYHMA1603MEWSQ
DA6SqA2MpCTM84ynv58zs6uUzLzKrn1tKiuNSUYEAoP7+c/5TnRgK4zsOzNaMbuhPozwNe/DKCct
igH5WRRhc7KM3P8+NqPb7JSRhyxDrNGLt1h8/HuEn2Vc484pxZcktNQdxTq6o8XDIrTy2yV9s6sS
GCxlwilPb3ovfaeT6zqXxSPfY8oQsI3u3Clpz62co5PLwNbfynKsr+ljtjdCzWGuKw+Ad1i1oaM3
dLqKmp/LMrTP9WD3dMuUeXWTFHRlgTjKucq/TDDsAZ5moe/bHJ4Jehkj3iE2+EdZyLDrVpM/zIm6
pwhiMrLrAhWs6Fh8io6a1RFOSjDg676fR0pSThFZ/0M9qjvpUdZS2e6C2YbNGR5e/2HKuHq2LUXU
z0Hgz5DPAlZPLlnTFjS5Wa6LvHUe8J0j1c+xpFHKnmtmg7FxY7O9vu7oF9jbOLFXbdky5KaYdusH
Q7ol7sWpyPVyH7QT6hf1BdkTfWhsVxEqjOTOjZly+xu7YjP/YC8txpUMEaNwIGnX4jD2zSebJfRF
pJ5Oo+odssVWeQhpKCv17jnX++hM76irPp8vqBTmsdf77VLvvL25zS5jYzX32e/7cqxfVNhv3Yov
EuriCrd5vJJ1dEOHHXogO3yDrf6QnPC/8pcsUQONQA3wkQWU1gcchIKEEpKexNBKQj/mz2g1QesK
EehFssdoDVKrDq7WH2KECF8rErjA/C1ubnFOFhkcQn23npEwCq1lUFHKlzx/a9rhqls4hkFnXCXv
Aoj0U2iibfQ0vasjyCSeC3Q7RzhhcArVIDbvDa2pEE75xLbvVo1JctchuzB1m1bmfEWXp7HLjfJh
iGk2yye3W49auCGgMmzMdzWnJ5JycCMmQLMWe/rfdB8UoDqW7amx4HhrcWiGuLSnMcreyJZKUuzD
LttFP41OTehSSAXVdnmOprY9+9No7xTTLJPTiI4zJAEw7yZRXi1VESHcC6cQe5uV7rqbYbjO7+pW
W8ph5WnJq6ZZ8N5amjTahHGXXagCHwnWNN/cMjJOaRzKqyX3661oRy8nrzZBYxnoTcwJV87ho8uc
ZIMbGs6YluMWLcyFKpxviHuSix5k87RQA7cWjo2658cXh8pWLglkvgbVCyUF6a/Js/xhyILg4mhh
0NYSoVMaM5OW4cpn77FJtZCYTcFLpKVFU4uMppYbYy08Ki1BYvjN152lTq2WJ6kY5M4vjM+Oli7J
lrM2TSaYZ+CJWUG6byNbi3tPwOklmDfvrHnx8Qy72Q/VBsXNMm5bLZaOnY1u2mgJlXuMuE66GF21
jvL6Hhdbtqm17GppAdbRUqw/tdGb/a7P+mVLG3fa33MSZjd+aWR3BCho2tLSbqxFXinf0Tr2Rsud
x1xLwRl4po3otTw8yq/O0LA+liJ9yLWI7Gg5uSvtete+a8zcDrXePFCpAKOh2M3verSjI0JaohZI
uyenHWdMMfF0VB2PyCld1FFQdCs3/5kmvTuB/2adbEJ+hK7w/58m3abZC8+UPyyUf/+l3xfKvv0P
Gw6YC2cUtKnl+PiL/9nAaoGrVcoFivabw/ifK2XL1T/RjFD4rj8Ziq1/KPhdjkfjLhgex/X+HUex
42hu1k8soXd6LiAhmGAuBpV3F/PPk6SGwnIg16x+bExbGyKeuy6iysDKO++C0BCVR5ZDPL87MsA4
xRrVi6eoc5JvmQt8kaZP0VRLsaaQPg72ohdW89jDirnyQtrh7ihgbAgtxO6zg/R9AuedXVEEClVM
pM2mNuI4P5lTkO4UZaqbbkiK66SqRflcRFV5Hua+WsgRyH3IVHaNJdGsdvkwNv7zQI+5d/CMCENG
V8/qyzBierzDRehuePRH16w6O3trKRri1n6IU/ll6ET0pW8I1RyQWtOQUFyfKp64RtQh1mc5Tqme
PACm6pzuRGu8oRlQefSE1nQM3XC183G5IzeuVmnRhQ4dJIhmwvtXGyLHEmk7Huo+Ra+MrFJE7+CG
1rZALx8yjidO1jnvR0xAjs/9rh8GV65lhG75ho+5HZdtyq55xIhRtM5CYjMpoc/mWE0EYaK+QCMu
PFPkpOd8G2dj5C21LTdElWy2GLRbUT1OEMaMKILxKHFYkm9LMM+tAz83D2dnM4RlTDkGA5Bwb6aw
Y25cIrJHZuzNHT7IAPejsFYYOFjktlFxjKj3AUtXmQ8pfq0YRQ18Ny3340ViEtopv5pfXMCk2xFx
lTqZGdqB7owihA6MHcT5HoU9P5aEZ/eohdRM1e+NU0PWHz0A324fpbtcd1JZZIRvgUDhtohAOSkb
5Kjd0ZOeYFE8tIsfXBptJwkKwRM+DXANLWKoiHqpp7TMsbaEdXs3RoN7yVC6n6McTB0tORA8iMRd
OB/KHUp7/Cmjo+YuM0kUplEFwY62WQJLLrsqaCPujU959aeomqzDFClxK6Zg6vAnCSZobmNdB+Df
9yLRRV6STdz8qao9Ws90yVetZPHQkoaj5TKI8DE6SW1Na7Ip5BjLeVmORWMqEv5dm8OoLLrjCIJ8
PzJJwSpUWlf+4uJxl5UzPto+S4IVXcMB3VJpk/2Qo63w0btsmUixFcU2NZkazNJ07pp4cY/N6Dwm
tbtpkx4PCy4195rKC+TXJKZUZRU0bDX7MDSv5DSVB9v2+1WX4CMk+dU2lyhTxaemnYo9DS7V62hG
n6WuTusyzzvxTaO/Vpa9ntvKOy9zNl0ChoWnwp4aOtCs5UuPcJ3vfAo535KyMa7EUrjInBQSnRgN
+Ds7qb4P5HsO0jHocuYJxTfoJg/49vovhoLMNuNL+2yNbCHXTu2ln2tR4Cilr/OgRMcYxSVs77sU
yMVU7o5lota5LpZLGouKOb9wTuPUYqEnRQximN8VtzRCYeZlt0PXszLiO4jO02lip9aswdmSAaVN
j3GnNxFx60S7IZ4/s+QCZjcGlKBxXGjMcbNoHQqDFVE7nkrinxtrdsxPtius2040T/HSPCSVcL9N
TsnTG2kND64zopSszWpJHt0msa9yYwaW2rHxUNi4qA8Oj74u5tNdGVwauqxP1/Y5jVG+qd5g9DKS
sbaw47zW7wV/EjbDys/H6oqGC/spJAe1BjtlMvzIazoQFz88E0TqnztHUByVhdpkaKwXYn8Lcmlz
ok2VWimQ+9+R3Pt1O9TXuOHGraPGaRPhov1C9wr5euGa3grb1EznZuVt7FSNzF06U3DF2ZFxI+tJ
7JoSdRJHu1demMwholad9LdZP8mboSWdhR0gNigUwXA2Hcyom+5JIuKHTsPRAqUQeK/pmOPH6+Oe
eJ+XYfgOAnRfW5COL4fCeemdprwCvtMoSh9pQl71Bub8EKcjwEIvakl92MbZ1VnwmS7hGzfUnruw
R8GHc0bmsI2jI2ScATDGLKF2SLO8wcufcoo65bqjALLmmXcvRzUfQxG0a/4oeLEkaI9OWlHGW9vT
tejMGH915b2B4XF+lML+Fle1ec1uvO3Wsy6ezPxkWzcJLvlcpOdxiryzb6XpNYhJlayS5S0yTCyE
BqWE9jQ9lUbzMNWLsfZkg66sYQUouxEONumguS7+hRFkuRXKjKy1zfjjEIroJkuHkKhJDPaoaOTn
uHbsfQIqdMf1/kbCxLuvzXZcR2TKHkNXcgeJGoTWJKWErAmc7OyAfVg7bTGcy8IID2LUXSgqVxrn
LssLZ25OIa3PRH8um29IRoJYKDoJyx7b+xSihJ14h/PGHKtiXToVSneWOvldHghnl+laUYl7eG1Q
bY1SY8TXgv0La+Ci3Hf91ONCmbpns2miTebRQjzQXtq18jWpqxTHmC41HXOiikrXndpeTRVbW7I9
zSNzPVtT+0NabH6Z3fYPiaGc7WCPWCZDL93ZXultrIZoizZJ3gBlA4bvWzXvIqZLLkwsuU0WH1aL
bebeWjQRPLv+qtFFr04xvjaGnX2tEZl34eil33LEa7y+2KC57X1lHvq9SeP2aAke9waZm03t8P8C
3Tw7g1c9YBczjkaSEbONpbkzu1hSeCOSNz/x6GvPIrHv2JZhZggymslw0pltEmMxT+pjz4Jk29eZ
f7DssiXSzspLMHTe04I0XKHqkFzOpqrG5Uyxk6E3dpNu4rXctnjrHKqceO+PuOcY6MyROiBL1GQ1
zouNQ63Qrb5G5Zs7Er1vtVFd+t5j6RAXms+57LlFC4Yz4ouMbUazkYp1EIYVRgY9KTXKG7dqLq7R
7v221vGXfmXk0JxAT7CZ6tJTUjIfLBq6/ei3YtofU0pjR9EJ9UF3GWdnKxcQGtpp3Geq9w/2TDEP
/j6Eh+JubuJo1+VGTMxHgKPI5gsuUrlJY1JobVeVm446xw2cVKZjUS/3xWARbxauheGBJmTu7e5j
Z0MHWZKgXAOJ+14HihLrWZcw54zAzLhyeJClEc8Dq7+MpvTfCCnUW3pJiDW14qCmobgoMcCS0VXP
gwOlz/Cr/jjljX9gaixWYbx4p7ybL1nsfLUD9+k/e6n/zV6KRlTvl3up67InVPVx6vDbb/3P1MH7
B/EcNixkMX/bG/1zM8U+C8+dZ7AnUhJwpmZd/k8ik22W6ZkGVj5gHex3/mXNM/mDPm49/H6MkQ3o
yP/OhkrXi/xhPyUlM35dC+Iy32DLp3/+U0ITvN3YY3Jvjk4REKBMEiHvjahe8CbH1a6sE48Ohso1
XlvhBo8uQBIiE0VwEk2MJ05HVNzMldeloYo9TnWKAeFtosR4qXj0qrzdsEzEelQanc/mISFnU4j+
e9IwuyDMTlLKrClcYn20RrkNzoCSomlDBogCzhqYpwyNZtx39AIeyjpXD33RTzc/bX/vfts7/h+a
/e5K7CLtf//XB06qlERT2Zw6HAbtofyImk5mOMvlUFVHNOvpThFOoRGi99dm1+nPxfv+9euxF/5w
xFmxAhC0IUdyk/7I3TUFGJwwTavjKBrg9GH2GsLDWccBx+DXr/RhoqQ/GXBS6XoQWX1Jlcwfv9ul
By/WwjU4IrS3GxOXIV2JjtgTOYwfBjOz99RNBfe/ftG/+HguZlRDwr7lNDX0z386oQiMI+UWLYW/
KpqpftbKWWuYrgO9wIEW+O+/GkVm0E8lrSEYVv/4aqHvjXGRJ/CJjNFJz0UD12pSjRzB/fmPv36t
j0RsfTx9rWAwa8LIynTxjy82pWEW5akRH+toyqy1FcEr2dR1Xm68RmKLmqPptm96eT226XDAQQo/
i1Dj3+Ey/3yEMdJ6gEANjLQuN5U/vg18tC4bcysh4AqEYjO1c0s8LwgefYVF6m8O8J/PIcdgRcc4
ktAuGe4PcPgGGrzVNSrBdLIsl9Jr2k0nuIKxTqTRkbWLk0BbZ2/0N6/7Vx/SVRIwmVK+q3TG/efT
KA0TKBQKkEEx1gMGXr7N0epHnpJxn/x7r2WT3iQW4EuGudwFjY98VTsWoxwiPz7Gsg5RjWcUicpo
6K0gOfX065Pow/32/bUcyczSBodrA4X94+dK8k6JRnAOLfMyyk0ZuPkpi63hd/3zbfq/4ffyL+5q
f0re85lQVjV49/10Nf/4Or1iq0wjYnwMDLLZm2lM+FD2zOInGCznIULJYozERIqlTUOH4pbpWHT+
9Wf9cO7ozyrh99vaX24q4+O5M8wyZQPQ8R5AXG+oHK3NVbiI8BxYc35iVQxzRFnz39zP3w/hTxKh
flmTW5BSFq53DHQfTp0hVJgUA8rYI4yYn5tE5Sd0y/mmSopo31gVCcROlBM2tnkKWSOPIEmPVC1P
3/Cr1c1bRYL8RB6WSY3WyQIsXeDvE3H59dH5q/fpGFrLdFkd4LH/cGmljkUHpivEwbBc9TrPvd0Q
J80YEKPQjOqAW6xyV3MiXKzX5ZiejcGc0VUI/Rz7tLSvcBgFR4bT1o0vVOvu1BCVCYYg3x32v36v
fz5rPQDElkHAgBWJ+vhW0RIYXWZjfMx9g4RVig+K9sW27ba/fp0PVz1fHTEEvjKXvTv/+/HZGAuT
gyLamFaPcrn4sea6UN/sXGWt7Tz8+rU+3s7fX4yMg8nT0cHB4X04/rPXOq09JdzOCeBtQi8YNlSb
QrHhUtkxPAnXFZXYV7Kf3GeRF+F+KmkV+7s38U7p/uPpSsuIQVeTw6KAt/PhqZI1CHtcGYBP+7GZ
j25mcjPt/MmqjnDzl4uwlPHqIHms4cq/s2MiOIYxVGEiAbnhXJFlC06UZc933QCiAN91AqWuzjrM
p2aaL+csasELQsK/XzIr+DEwO/zkzdlyXrKGLJhfN+rBrSFjsfF0robG4Ibb5qN5T3BOPaioMg4d
887rCI8YJIAqFo+0zi8XOpKtfpWBtr/NMRG/ZPRIvi6Qgc6tqPB/+FMR/IB25VSnIq9htBVDFRzw
LtjtLnGBFqIRNnqNUGJGXRW1ab9E2D/fWMxZT6NlVRSKUnUNbQzn7o9s6Oxxk3cMQ7ct5MEzI/uc
3Ci3FtkM8WsfcfMuqdv5wUDfM5lcs2xEuDC8cD3Gftjv8LXbe9QYFkOkH9tvntub2wJl4tmrRwJR
pUQrxZuch5BCS5+XZ84ssOC33Dvx7bnPC4NVOkmRsFz9u61T8jZmx8LuGI/tuHLjTDz6pTWfec5k
n+p6Hm/fD2+gxm5rFpFxqayaduFyQa07BjJUbLTxXZ9TrHr9tl6iBKLq+90KEeGq6RbuUB5Yrq9F
mXJGAlmgNiTL5HJAJ+PYzY5HMLMxjOjRnmL7c0/ITmBpNIo77dSkrsPm74wQSc74QYl31m6MluCP
Wmdt5nDvL34GLJcesQdMENaTVwwMa4XJsc0pYXrNwtzcofTYL4lTo4Rx0SBaBXEO/2QUEzPcFDKD
MdTTbTzbQ7RxbRl/zVTHrWmR2vTP5n9r6fMw1zkar09GyqwjCGqbhU7xaCPzctmRjeVcQuBfzuEI
q3EVsPWaGeMMyyV3BOlG7ave9FGLkTXhA7SrPBkXjLecYFuG5NVLNIbGAaM2Zy85x+muCSLk4z5i
x8CMVTyqKOWAGaE9n0ORJafUy7b+gpNlauzpltRtvcNmLgnVLOW2hu0CZ7ZsLmEXxUTmm+IKKq8m
CGTxRpmtcZZWsZz62lAHJNTgMezcbWlry4sq0vPMq4HodNzbfHH3aQyCrCYWjnKWWM8eLp5VBXfV
KOduRSmUtTHEtKxN9nxryQxq50/MjrHEZumao2p+8uPhNg6L+ZRIfxdFtbUb+6g8Mb7DGSYwZxCZ
9YmH8rGylGKEKE0pVxxIBZqa4dA59jNJGuuMrea2mXDMkzydNlSkQWX0TaLGdfykAoV23lbmVYY3
yoAshlpajHuaIsmWLnRzRIuhNj7zm1XsR/dtNL/iLH2poD1sE8gFm1nZheaYmUdheF8gdpF4HKyK
Ycvk8VTrK/NrbtmnhSAbkaz4BjGHQbqtHochuCoLN/zS0S+7jUClnaDkcgO29RopN+cbFVvWGX9E
fZFx1sK4gMFLo8N16tazB2wnJ9PhQ3qpzbD9XlO5fJhlSQoAAFdABCO0kpMs7ZKKOhG6172T8YbK
zLaMFV2Ky5Oz2NZuGrOg33aD6V91Uta3LJTsaDMq7hcpBd+gMefwCUPY+DCXNOGgzlSQmEm9zufU
pRYXL6+7s9PO+5bkcUMmmTLeqPYp+ApYRZ+b0Lj3nHG8d8d53lpL32/188dZTWU1UAtW1fld22HP
cbnSsqMtbJYCJuVK62ZmLUKVEc/CQrVrtMOYW1ExrnAa80RAUnYPVcLWp+f8o7Z+LnaQ6+x9z3CM
IVtl5ret0X1yMwoq5RgPN3a9kOkJsdUlm07htNUAxvxKwN3cFUnq3Bk4r3fK7cPPXRKOV1ZPTXUc
jKdk7A2cRrR1f7WSqQ1WDtwyKky4Tx4Lv4lOVs26Hc0b8/oy5JyYCWsHtgiZuAAAdLf53HwpcOgA
ieyGZ7gn3o/OnlL0vEKaj2buuJ+ncfGXvQFKHpcM1eCk9FiPFVN9qJge3IBwVuSw2nltlWUFxKh2
D+yg/YM/Sbhlleyb75XpedtqTOZT3Vlnl5Q9JMWGKBGzqmvbYXAHNsfF35P5lyyoAUUGVmCx+U8i
G5mikY+CgPVadpl/4kvFJ+UQceAhDKejEIP9Ni1Ge3Hx0h0p/gYXU9bmxlOcAiopcErButuPZOR2
yusGnNmxDeihLe/CrrUYuMnkGCS1eeYIxhsL/3Y9BHI/OA4ntl+cFfLBOsh98y6kr+PgkA++9kOs
boyunYfAqSUMybHcZ4ANd9nSei+99ppzo6nXQzvGDCo6ymwZWzm6prkwcRHiVVtBjMDnbUzWDYOb
8tZYApb9gFfUqmoBU27nVJR0DSdDts/Swn12oBw88tHCq0k4XrkJkEuPs/Dn7x3b8evOGvsL+OHJ
A6DhD+0axZRnOuwboM/l4NywY9dZfiJewSDLUybnjqurq85jkmd3lXK6W6+dpoNVA7pdxz4F2gwZ
j6OHDj3IADI6kZ1z0hfe3g6H/FXnttF8K7/+bIcONREqSX/4Tk5WtHKr8ojBCC0pyZpPLszrnD+9
bWraIdFdwfCuW5geL0ZlJwy4RSuOYdWzlvUkBIYa2sUGtbm/AheNXF0mW77xeJvm5tso/GoTU8nF
sMy3wLuE4cw8py9fXVkMJ0A4YuP5PAOBgyz72ZmDDWTW7k4aQ/uaMHY9JXXGU4ObQJPSvDvYbp06
Tx0oFLd9U4Ao7RUIxSn6EdFas+7iNgOZaHcF26RO/KhVVJwnpto38ej0T4Tghle7ib3nsPeJTGgT
J3EHun2ZdDhznrk51MG8OAhlzyfTTAio5mr4zGwKHlWa1xvhDVhPkxouINZXuWYVFd7M5uxuuqxG
1TDrgGRONlm8q2462EVinO0xzjZwrXhmYNaFupD1PRQlbk4RLKQEKJgMxu4kG2ynG/TuktvZvITA
rRKTkDpcBmwZE48RiTqkB+K+BlAt4jGmxWvnAy7cVjwU9pZRdadqifu3ir0ROwwcTYXIOQqNF38N
TH0qoygZ58itzAJvQDMdlGEFnxh0Wi/CrMQPk8j/deBhBHOKJVlL6CL7yZ78J6BSA1wNp/kaVHbM
ctLw13UbP7EwJlYfKEylaX2vLPASOg6ycHulOJKTKv9kOHRaGp64d4cpXQFChdvmejt7AbvbFEQV
7dTIVxOLk40LJh0WMWMcjz02mj6AFSjFr9D5I4oR2CfjJ+1KHpXhwZyEuevV+J20mL9nL2+v68b0
dzCL3HWaK0YwubOWzItWuaNZKz6jMSwV8DQ4nY1kklezA8d3kS8LyQWSv723N+c6XQFCz/Z4nKeH
mvncGmBoeAY/8kNUAIXrJS9WahjMU4ywu21Rs05xM2cH30AeMCfdGls1/R7Er/GaMi9dscfnqcNC
6IRj1cYZHte0knQtg+IpuU7ltE/hQ60Ab01rNtVq043T7agMaGn2pA5OU0drI2eC0dbVJmMqygOi
DO4m2RqrLkuqnde1oG1Eua1EueylirUF2//azCB5m5kpescwE/SWccQ9TOBbvMTK3pVMYlmn+DeY
VMFg1M9jvtz2aXDqSvWEHeHMLRfBKIu7K9UsP5I6/ESD5b0LN7RiNU0QN3vxjXgkiIlI6Xb+KyP/
dr00YY/hRzpPZRaT1C3N18mXLKwAN23g3EM/aLqNbzLU7CtKXtwRAJt6ywefQFmOqo27jx1BiFnj
82Itb9MQH1UC3792MyCDsz+Hn42qDRfYLF56spsKX/88r0gUW3u5bIc6/jINE+mvLrp26ifDG/rH
2qMxKWrjB8ogo4M7ghqkzLT/Ikw6Uqdx6A4De5jrvm8Iw0yAU4Q3GyfHit0vCsb7Ps5rGK5tNDbH
uFbIo2OitxMgHaZ9OUqW0DEUGqJ/YFTIMopmF+XTvUP0+puhSNafRJUh6EBdaT1jbw7maF11Xk5h
C+ZD+HGZ2ei/Z9YpzCdE5xHhQgbdMcw7zmh3TKtmhappJ3S6gALYyTaEepyyHjq4Vu/C9uk7okot
BHYynT6iKSNWtpypDxUDdOGzF1Ij0QaKC5BXZcTgBB4bEdNjI7WBmMG2KOS07zdg1ghAh3qmMZd9
8Ay0Q2wDUbPHKIG24TGZQEeD/vPqYD4L22GXHLti24FaNG4S4cCh6fyZbUfvclsa28RaF1LvTiht
Hb4nizneJmomGSTTZUdJQXqK4Pc/h7lA5A5tV97L1um2ioQVFOdlMF7LclTOGaOa3vL6HViYyKla
OAUDS4eMbqp9Ja3myNqePy1UIXCFs0HfOGBYdq502V8R0fiqMvqX4oblHxPM6s6hliWVQ3EkrZms
Fx75RzNteZC2VnCyIgdRoGWT7/UuGoGe1Ly/3lDZYjuXqjkGymJmkxLookk9//L+n/hejqdYse0v
gQjvXYBiB6JZ1Uubw1pYT42JSoDX7HYEXAYEzdCznqVQuGM4mGS+nBX2tHr3LhRX2GnW5sTcG1sQ
AcE8rmg5jmEtCp+3mEdjeiI9XuxV7rSfy7jjA8QJf5H7yHJpEV7uqMmRX/Le4FsvUoP3PE7NsXEK
2PKTrrAQkXFY0h50UkVnFFB5PhdQ3eCxctj21QO2vDXDVgrBRMXevu8zGkYoJBlTOnFQRRAvuRn0
EKcDAyN1aQ8OkLQAAjHnv7GIa78MqxfEPyA6aYKi6C1XfkMZFU55v0OSqQOM40W4lLuOJLB9ndXg
txw50k6bLEzIFgfxKliYQ+vzTsTFshtgrLD8x7MNNmG5RNjy2CZNQr+/qAp+iAJ1bSXYZl1o1eWY
ZJi+XMm/8l1NN6U7cNgQKde2pAPELGSBcQ0pru2L5ewSCb9dshEWKpiZnbI5AzpbAxpB2fEHsaA9
hKYv4D4MgC0zEgmdi31mKmCyMuhedmlhN0e30D8tO46WhEhJGNBy5/PAH8J00PjOph6F8SWSjp1A
/U/pyWo57yPB8lq66Kw4mtnwS2EGPxbaxa6GhLPJWvijcATKF6TEgtxcYQ5PHYHua19SgDHQ/vAS
RMZErD3i0hERl7Bt9cwmoaKdgkqWL6nbdkcfZw+dz+2QGcOqyQJ5z+aAT1iYCvkrCHFMrb1gLPZ+
EZvX7Fuazx3kKMhmRpae+pLDNLSlCV+Mfpz3C9Zs0+hbvuTVC1FaXnrq2+GUURJ07JBcAR14on1Z
dKsftSuXrub3fHq9rrj5vvZOO6wjGbP16Ko3Cj78Nd5Sb98OTXAyOr6drgu42CeuwKCffRSLAtdO
M3RbTXg6W0jg5yqHrIcvboZLpBZ5lRHuui0sOr2cTDOhO3Y+zqbgdrg3cOzSZNHwFQNi8NdjhTSH
0QVJgdpEqpzA2TarEVDuSbmL8RrS9/fCKFKQ1o/wC7kYhCDHsTslYsX90bc5UhjkxSPUpuCHCzWK
FHanz8HGoNjVdargFAMmCVgHzMtBuNA6gVax7YOTOHz3FPvkNRuM6UtbxtPXafCYQrUsyBuk1Crc
RiwreDIS3b2W7VDcgGfvH2Nj9L5VA02ccTn5J6oqM1xRI08mOx7r3ey4M7ivgjNAe/GeE+VQLdKS
58CTRr/3sMmqGETnuxr7n3Dl35nGDaZRPwnXfwJPn19Y/70U335OV5q//dLvPgfX0WYGF284HERc
CQaDrd9N464PnYhhFExpVsW4PP9lc/D/gaIFoYCWQQf6nIHb4l/pSj1npfTXcaFZu/zo30hX6qna
HzR2rOnMonFNkNc01ccJH4zppMmjdDm4IZh8RmB2AV83nJ9ySqLXYej8XZPvnwYmJEYR8w2HGAzG
j49FlOgGUScWBRl+SpqLIYZhrUDo/c304E9DPj6S9izYtqNsaX4csHVOi+7qRNNh7ug9GMEuXtIS
K2wM/WFriDEjdd9QQVcn4r4dqSf66Rz4ixkjJoI/HVfJXE/P+ODQcGw/Thn7mdvl7HYk91Q2IaBB
24CibxwGvOXXxOKb04Snk1JY5pwSIp0VaBUjFuBiuY89IARJgJBs184Y6nTphaS0yVtG6gnNlP82
K2fKAKxMLAPkoYQHpUPDI4Y1b55/1N2cwi7zUAInbzngNNXmaFUj2Tj1lyCu570eH2CsDCWhp7K2
QDczO1wORj3JR2XRwNOwBX5kzzPddVYfEPluqxcvB1yybuk+BKfGJwLJM3zKelqu2mQqrgMsrusm
oCmFiiXoo1FglF+jmCYf3Cr84jjF/jVND6CAFJVF/oCqTQFDZZRHDhXA/RBTiFxTsmdbe5Phja54
b02K1CiXmMuZu+tElZBTL5BNbZ9YHE8D+Epu3FwovCY7O2AuXkNJYEOlIsY41hQfWLOMG4wd9Pv1
FHCxXgtOS+9Oe1XLjCrAhbdjdcMnml9oKEsW9cC3QzwKbwbEWgTfXk3120xMbY0xk3NoLGaSE0H5
3BsL30xdFcZBjT7X0MiDzeoK/1pJER/qmgInrMjzk9HwK7PRtJ8VXZrXwQT0uA47+dgjUn1OurG4
nsrSv85zjyPiJzUpRzsfCW6pfiFHQAHZtq0CgqHFYG6R1NJ72rgIYDImAaRYNm92wL+GWIUtDLDm
gj90gjNY2H1NoJbLGcffvFdxnx1JA1Y3s0uTE8ErdgitVTQFaFiMKVXrMWBbdIkb4tVeAFK+D0dJ
qANQxw2uCwdNPBy+p8bMVKqjIS7PDIObhiy/xlM9fAp8WJ1+PfCnYEDsqzzwVnLiE/ujqG6CVF/s
onZuRWgMKI58FkUZITO9KF8PRCTz1RAVw3em4/OejJR9G9p8E+/NX3ZRzZuc7WPOA67nuKYsP1Ep
HcChQYJYO7GEZMQbBPdU8NVvRDOWM21e85M5UpSEsppusqZOd2hx3TcjUfIx5oG6wWrFXkVwbNuQ
7zHp9aHWp2hWsKeZGz79AmeDzPLCN2ErmtZsyfnfpEP1nIVu8P/YO6/tyI0sXb/QQS8gIuBu0yeT
3pM3WCxDeCDgzdPPh5RmRlVSq476em66qySRmTARsfe/f3ORNenbYDQdg8Q6vwm9Txpvyq/YyAnh
agKsdKPGfjeBH15FEHTPoeDdXAkjJV7TpAVQ0FehJvZgh65mFm/zUi4l0RjxoBzXaHd4uugbzYDg
xm8H+4YYVOuxiBv91tlO+W4AKxEMR8tVi6B8l7k94aBv2A+jtwwAjIS6yyuG8iOkNCnWsZwMajSk
o+eL8yIWAYIY436cdIHpSJzMVwMi0Regz/R+KhlwrvCJycB8kWEgi83XzmDGh7YUyF4QVsR7e4wh
B2QOpHc4q1jkMsSqoKWm/mViTq7cOgLXldYRoSdevNTHiOKtL4uh/RrXnXqLrSJPwwME0UIdMG80
iq008QS5mqohQBMQyk7dyxQgAEL39GR59DOl0+GLZWF+Ds9odna8hzaQCcxApg9jy9bUFdddyZyg
5Q27UAQLtWZj3CHuuzfs7lrlOt95kWvfzTRNK9sF+8WLHAw5uAYwYezksohCLKWPuUifGqhWW6xj
O4LJpy+xx0RS9d23NBL5ETk1jtUqOkazE5LF0OnLEm3TFs+mEWg1bL9ZMXlZYdycxrYK8DCvrYtx
Tv0Ntl8kk7o2diQ6jK8VrqBXYKr9tMaV9sJJvAsjhTwcZ6RrrrQfVEcoAtlGECe3xq/HxkYK/1vM
YbLPkMxl0GZ7we4bhaO4Ku6nwo23Ijf8UxKF+qpxkmHnRCzYKsFYFtdN4h58L4Rww4MkyxgaNBA+
mQp0NZo4AHQUKGuAH1mWKK/3kekucUG5eRrs2D/AWn6QeeDTSrnNJSljMtsK7v3XRg+DgwDEN+ZV
PvMMV2HW9gehY5gYFi7LZQAe04DUFcLsjiFRUCCsvgOMTM7bZgqar8QedSiWQs48DnD87JF/r/BD
abcJedn3cBWtldWmxBWDHGC7jD3VyvfGdw9Kz2qQ6XgqxhDVbJamb75BBtnaGZ1pz7AQnMl1aOsg
XERrt1eSClFWd1RnwJadLd2jZn/FuYdNBGszpN7NSrOurlTW6BNzVTKPUQAekVYgc44iVlWzpbGq
8MHhDQRNti+0U49P8yATbEuZYXhNcRiyjeyNEiDYmT807npHMeXzo040mfNW4x/G2faPOQkCt3Eq
500fdEu6pFaE6mU5rzuG2hmpTwzGpLpzG5VSHExWtwrrAdUylv+V0edbYxlZD4jLNzAtk1fXwd7C
M6dhp4KpX3V+Tz50hI6hC/O7zDI4y2k3jnEsAbVV3xPaGPrPmRda5AfxxpMHGC0Kr2DrD4G6ItZN
MTwZjHvIBh46knm6WEiiGVNy3BK3lYPXjQqr6yiY3Ut/bIWzVgPB6/iXoaTLVZRe6Wa2joSiMpGJ
I6c+ZXMg3zosKhG02WRBAIDiRxFNTPXWCSk733W+WCWimnXGjZmY/XHGomCtc6Ped1Zmv6FZw8d5
TuPkUuF68DWXicMIulH9HII3W6H9hp7HPAxRiqzdLIm+WmEjme7cyO6/EGuIlIRYXOoCXd2NI75q
TtUX5dbr8/hkjBmG88HkJi6vXx4da9nXl37VlGpdo+nOVrD94wMGVMhPkpgYUUJp4bRHhf4icBeD
gAAXYXk2NH5LiZQkknNoYSkkaDlwwmSY7hW6/YYb3UAQ0yDI1zDThgNHswt/FlkG3DAZwb1mksoa
gH5x6QamJmDTXtrNKM4Z0hAMO8excW9gAMDlxjLadVDxvU1oImLIKfKijXJG/WXU3axJY+MhWVgR
r6aOqvC34quKhfWYWFPzTSdu4m0EvnjUyTlY/2rERmxLGeo8jGlFWbYUjMVW9MS/JpEgLhZ/gsus
nueDMhu4KOXAZlwnaLNIxsYgN7IbDnc/L437ApnPcyywcgtzKg3sOPU1nsrLtyCRVhoOZSn2F8um
DLHhsyV0gaE6BuOgG5V1yzZYfJPaKfuNAZ+NUxuOjxOyEa1yUhsRjehpH1kGTnYxoAY+BgaRlmZe
T/slauFk9vBIoo60mHNqakmx9QbkjNXatJS/vlO+ue2YHRnHmCsZKrI885F00YkYWWTyJbSY2Afw
HOBgkLaIcKLE7+mYYvr+KxrcX/UQC0GQfsmFsLew4P/I9GTgkZZhaLToh0R1QRhgtpTDbkEYVVXf
MaKmvCc6YNPzYN6bqSbAjOwCMrlb+1cNjbVwrX7sE3/7JhA2ALRw0v3xu3SlxI0jqdqDwp09wtqy
s29cp10CXwGoJkVBGPnc2TYEpXLDMt8mjS0PYK/vIWLPe6MgLbeR/USekK5eyfVQN30sxqeBinv3
992XRXP8py+LaRC8bujdDs5BP35Zz/VStzdkc0C6Co2hAYWdiMdYm1YS3Rgdbx1HES8YNqDWY9o2
3sbknFom6eVHoqmbXSaev6B8nlvOH+8g+VEQv5cv5UKs/4nNFuKah6dC2Bzw/WOa6AP0bhqvqy7n
AXVuXXfRhq153k4SHhSUECooFNTx3o2WZUpW9D2BK9WFzBwYToFdftNx5t55Dgokv63mQ2DUJSq1
RTz497fTtv78IsKW9wAvaKpJyPqZfGgjBtcZOsfDWHGm4SekEczl/rQroa9wLwmj9iPpfsLC7A+w
LhFhW+LDSzRJL6HcxjblkmHj+9rpHDF4LdRbr3VxFc8yPZlmLt+FIgLrSoe6IDM4ijwgeIsQDgXq
GgNg73O2kgNCdPvGtCK9rcecejUjZI8CkvHFKKeTiqjm64q0o3LZYYTqjHsymZ0HA8QMsl1o2itR
KEzcJMI0ihbo/81QQsfv2MBAWKnZaZbpSzBYM1ZY4fGG1HC8IG0stfpYzNVdkVXLnuIvZTsBFa8+
+PxKLenSilnAFgU8kcSI8y+TjrEKjhr0jH3UPy/kXtSWtsjeawl38ILQXLe/XPKwuUkxxBBjbNpx
a4dphCWTlkGGqaxMOpQetkDYqjZcUCGey0ARTVxJnR5dB6HWEZsp0mLn5R8EFPTBxmyQ3awDok48
MjiouE++SWCQm8mRbMWBmr42l4xn1JpccVj4RKyzCUcI1SjlXVh0KwMR1pp22jzQfbPF4qv5Qrg6
Y+3CsteNDflrnftA7GNN4+YRq/dlSrp0V8fEoXQ91ZWZDryRTDDaTVQ43XMbZ+9uvXjLj5Z+84YM
C/V6Wvg2y73zU4gg2FcvIhk7Mu7rRMgjxkaANpIsJDRgbHqeTSx5C9viY4R99qEmLKBaQcTRimWb
7mTr1bd0oiT0VCZa04Gm38kIhy5gx72Mo4Wn18hu1C69XRH52ZpYaczC1JyNTBkz5IPWHObHuiFh
CtchuaJ2cu9yWXfPpgWlEUy+/LCbmnmHosPSFt0zWs6ZE6AtreZFJABKeHSTXYzhFitYsZsQaIy2
0WvpjAKlWhfh5cwaaaA4WKvR4l/iw0WidzFyV/IZEiHdIQFVivjCiDOx0hWonICluRr95QiN8OTZ
2ZMLAJSL6nUgDe7SGoBZyJ0lGQs7kYt4cotLhziYfc0Bui9wq12XXtE/E8hEez9M8d5bECDfo93M
U/Ahl3SNJ28o5k+mjgS0x96s31Inv+1HdOTMH2m3TTtEoaQgFw7R4mLCLy2I0bg7f+tRLVwuLy55
McpseQZyQHmyLNVx2d9NrJQ3sBf0u12N3W6s88RZJeYgth3+D0/ICpZ1btLAR6Oq7syi5smURMR8
O5/FuggXQXKIb08qgdaXohdcRzILBVjl6sgxOc0hI4OxB107v4YMTygkwqIyD2NnTFfn7GrZTNXd
GfEpJK8PPmVYYlkgJ1hXZcessOIDTp+QODzHu+wCvNLP8IARGtwGVdHZAjhy6xcgb469aZfC3V8P
UfRZe3DdZpYbfjaYWwWrYQQL80LQK1OTHF5pNeYMJ1OfPoWSrCMW+bbqesC5gtAMAH4zgxbKFZkO
tEMsMliCpT8AwQXwjIF2TEiHHUQAfNyBMwDuhm2Rs2LCMbdvROos0gXTRDXt9A3ctBpEcFZp9TpL
BVBmt0P1NUxAXOC7TU8FWqtVIOrsaCyx6tD52Nbo6JmMLkjNMiJfeZQa8JXmmN+UC8CeamaLkxYf
f8ZvzofkmILdFiVhdYZpfDfNJZ8pcA0eX5ZTLFWNme5+ezWh1Oz0EphelESnm1ZWXOpSLHJc5V1C
c6heSwsMjfE3mFq31MpDLhcfNTotpkstm7tBtF2Z+eX7SErDpjYrnzwQ9tlywPAcFwAkCmYheSBp
2lnbhvZp2ziU5y0zNtKe8tuqXrZh4q0aePMZiKQfu9S8ac2Pc4hieYcg8DFaUG/qkuUUoEF7tzxe
CTV3zbeOOOuPyArCGxcCOuTf5f1JFQ0AO9Eqc7gcXE+z47m89XDi24XEK93nQw+KBC1x4+CA8Hg+
G6wWCBj2SXTjsuWDOwGiYjWrbtzQsDkqBmLIK58ypJpS8Qj/vV/7OUMsB7nBUdEOryMnsR61IwmQ
wgzl6AMQH6fMJNADhzESXyhi8+UZYNeq3xps/PWunkuK8wEXBkKf++dpoEzWKficWWbiESo/my37
2GvZeOTQORlj2oBt/wwJ9i2gpScYeYXEdzOtpPxs2E3IVzYgRy7Ch11VjhQnLc1OzsLet1KCgpYZ
i2Iy+/Idj38A6gHMWMYBrUJL4SwdEhYF4DLpjudwr2WbHV3uBsgRPO9ShS909RPcQbH4IkJeA4Wq
cRKoAW2etEvVbmAjO0Hw67mZJttb1LOOUihpL6bTa3o8Uk60ge/bOICXiWzM42Oh7Opi0Bkg4rJV
SpObUqcyvUHLTgAbTrCgXtB3ZeVzPkRAJqzJGnS6aJn3nl0LZOV2392Fu0z8HUxCCjwJWY8mhOmx
/tLkNSVHhZz6mBQssljH0Q3E8/e+t7lrCFzkUXgRS6VPuQdtZtIN9UP1SlWCzStWV7AvM7P0qVs6
O75mrswmO0AqeS7LgApyIsaw73jgk5fOV6kAUj//9bwwJwKgrZUB5/OrPXCmojVVx2Jux9tRGBOp
zglxK0PJgo6pKkPXZpPpbd5spbEnwXIjnq+0M9ORDSSPjk362am5dGDa0MCegeKFSqgEnSnWwDlE
5oqWDJJytwdI4IoHBBvJcOg89QZvCKfeZRKDazSCeXtxSEnhZF20ASlU53L1/0aVvxhVSkRtDNv+
vb/VM/bAcfFjSO7vP/S/o0qxzBuxqVoMYs8d5++jSg+3qkVSueg8bbqqJT/3vyXZTDFt8E+TBsFx
BEZU/zurdP7Fb5Oe6aJAFQJfnH8yq3T/1NhRoSzNML+Sb7GQon5q7HqnLMsptA6eNxXZsOpLb43i
gbKymKrLeJCUssH7RLQgFSB765OJy+BambI8xVHYXcvSge5R99D6XRIztlSk3i1Ykz5xXGaPZUHe
0gp56xHyyiP8+BFf8a76MKmuawpWbvATJkLFs2id8VbnS5hoL4z6mx0U5amMQv8Sgr79UZgYTeF9
3dgfIBX8Rwxe/efWKY3v6cimldJMj98X9ZubXMSNGq6j0t3WOQ4m5N6fTCK5vb3TBwXKThUuVAyj
UySaCsvaiAjBBtwsTTI2s5KtJvl95VY16ROE1aoNQ9Hx2qpHatM08t6zFD7/qWl7j9tSCnEgZjO8
TKhe17QhNJpYApfbwBvwgSJ8guSXJv2i8rk4hQPnsO2dnWZV+lonDal0VoB7J5NpAs3l8AyJdrrP
SyaVR9V07Cc617cY3pjunhx7RcHdG28tB+2mg3L8FCFGwSACqw2GKX3lPusm7lvg2NEgVqae2RTG
JDCrXeCHWbx2Z9WKmyqWc7UzAHwf64rI1k5z+OFxMeg3FVI5OL5lPY4DDROKAIt7EZW+9UjKO3X5
JKifcEosKdn0ssFx4NDz1Mw0rhum7t3abRvdQOossnzLKQPbiRQ2BpFGXYEQDgWhrVZN+B+DN/6Y
WQnPNQDedVYVmefselHOz4C3pu6lXop44eOhtLbbnBBb5aXx2u4oJdteUYxmUUioVTja/rNXpqTC
F4R1PVud0eJ95iG159Wk/BCWzWWcD9DBLbuZpDJfHmXU2h9k2FcN9FUPDjvwI4yrAvMoDHet8iRC
WHfrRM1c0Pl4ElWtklObYoZ7QUHHFxhw/gm3bphwd6HVML8aqBBWEKfxjrGnWiYbb3RxQvHc0hHX
GJ4OATFdgRkeW90T8RqWSfstSbCOx2mEvzOO4ddGZVVDjE+StlpjBsI5vCIEkH+h8NgHO3SWi/fm
FjfRWRCBsK4pjlHXwt4/KidXx5GIH7JcsA15c0LSdpWhuYgAQcktU3QH0JRPRHORjjtyguVxyKxl
7toL7i+aqeB5qNGWrCXB8u5GDaKfwVMs9WFimubRzxMc7Ji1fquEBYRaMTQ6hKSjqTtiaf1tCt5S
HmMZ1w0qhU7KdSVifn8oYaHtp5zyCHmD86IWq63n87f0srkLD9mELe5aWjZf1gaRbBCHSeuauTRm
uVnKYJVifOA5p3lfzQ/tkNKnltnySIW53B8vmczmup38xSepIRC5Lvm7P8XUOeQnkfoL6Tfep6XB
C+HnCxg0ZOxQLvjfQeWmNe3iSmef82zzRiaOsbxThL1hbG0bXr4vgTnLk2vlY7dGlT6uRzeljm59
MePF5gz3UI3G2z5hQI8xZieh93dM+zIiAzApVr6+bL1uXWqbAAdbGBURoaLxtx2ST7me6sZdzHqC
U+JP/jMP04k2+Ihb9wnZpIQP1wwoW9U1wc5NxIhnlC/JDPby3SwtfIYIjrvr4rb5muCpLzHrYVlk
fjY+eI5BVJGoebFFPdRcDDfgEnaNwdXlaSmxnLGLhkKyzuQGyQrmVdwyWqnRt93DYPnu1woIW24t
pr5yq4JhyY1sCL4O8c8/ymK5vxMW2c81wCuuu1QufGAOdxPaHoM94im3RiuHFdA1JG9wZX2ESYAN
XuZFmKFyYtwVli7uydpaGIpphmSAMl48Mf92dwbV+nfl5vIiqImbS3rP+pbZ7vzshShmaYYZVaAs
jb9LXIseO9uejjovUJglpHaWsfFUJ0b9HAmFGrNKl5hO34v3eGQxHKGrvLRGGPgZGtKd6eUTsgtz
/h6fByZ03c2JHt4lEP08UiE5Wb7hptZg1hgwcvGZ2R47HGSv8mUig+aK4QzeeAxqqMjdy2UuUC9T
HPs80JnPw51xqqaLYpn4ZIx+rNwQ49YEJq5h1PWNdZml7OZ36MSiI9KBfds7424mkB1JZYqkhaTZ
VWp0wS36SXaTycWpwNDdvVUUrySf42rV4ikd7vsulpc6Ba94CrQsn4coqx+yQd0yp6nuYb2EqyFs
rPvAstyHwoVdiltZ691UmG0cYvI1tmYYma+hGMaTCrzHORTOCxbnYl/i61bv7YGQKdYHNf+hr8dl
4Q+HUfs5eJu4bRoylJ1cR/Y2MyOT6CCSEqcA0updE5FbOMJn2mYJ7t3QnmtGjn0LupENZmFuMFsf
0E6MGGxbzBATJFxdlx9wz8xw06Uv2/ayIpR5NNtHUaTeW4yBDdI50OmbLlEd9Ev0Uj2sY7LpZfI+
cryfmGt1160w3xHgVsvYDEGkNYzawbQyaC8bZ042PUK4h8k3iLYaE+sutZz2s8fP733yw7L6GFsz
6+9ipw7CU1vPhEmgXlqT1/wqiEu5i+hkCaEg45hScLzsW8gjtMWQaBxa00YaN8RxO9uGWQ2zDjf/
nqFeuKyW6NnAnsRdEiNU82KHUVQeObe+9u2bsRtwDUsLbHdX+Pvoa9cI0OcHlQDb6UzjTiFah17S
DUS7ZwQvMpW60BA/3+OuVWu71E+oITEzNmt89LHKIjoDM4TEfLNEiMYhaS6NyVavA6wAYlLSCS1a
0FjQ2KMIvbcKb6RXdledWx+8bmhXqYvyLTItMp/dUo/qcogIsuth460F1tQZk3fRtRx+xjWyILE3
cRzNB688iMx6CRLlMrt28lUtGPhBWEg3DhPBjaVRnjRCE687YpgdSj+YIbhXzqpwOMJ3eB6Z2EwL
Le+8UDm3qKDah7JW+PrWRGJzPVGLcJQQLrfFz61O7ZXuwifHrKxTgeEmBngL6FFM9s5v8/whTnDU
WzEOzXZAsPFmFFnSbLU5GquuhdIF5TeKbnPa4l0qzenRrOv+NDXSfDFqfrDHfPOKHQhwHl0dvObc
v5Ot2e81sjT+KpQ+SSYg95GdZ/16KpphCxk4Rtc6lNZFR+rTXRyTcl0HztFjIneJ6yqspiYLnBXg
/nPURa8JRnjEbFvYj4ZjHz71qNFWbjO2nLiNvHB0Ph5GM8RjzI+8ndM5PAdGhIODJscksxTNuVPv
pjSyWQlYmOMxgJJNxR2nYxb5EHDcPNvrATM77XPhPR6QD6Q5u7tmrIJky3FI9G+CbhCnCIxTA3J9
xxrqdeDga1GjX9zAU25OpZoUCq5o6k7Im8vdIMQod/zMiBwS7z+4wHb/Lak655Mkw2EbA62B0vlt
9hWwoTpAnSFkcSmtMHGqV2g/yAxTSLVBvBJnGxuVhqTQwwHuvO5q0BaJVlOG1WBf9ahlXXEiRaK/
noFY5BPnW3rVFpkkJTlHB3aLazV516ld3nf5GDr3GU6u89o2SEfqgbEIyBnUl9QSZrjz8eZjAZmL
npFpyU3IIRv22XhZpAQlTF1KDFzSeMFdQxlwJTKNZ0YxyfDVJeehZHSYUGMpH7mcVd7PwYDlJk4n
O7IZpkubLKLrqohIc2Dqamy60u4uZJm1p9Gqpr1XxOOtZbfNYzTkF/j2n7RHNEdFJPhNDpnoK1xC
c9+3VX1hASrs69B7plAbSHhEZODW6i7ppwxUEtJXukvGPMwu4BMO1i72yT1fDUh/EmDdgqzZXDjz
fYf+7cuY5hkmgL7I+pUu0A3KYkkMkgQzpKh78q8T2qBbVJjzjRHNdbwNdWx3X7xWP8IYK1ISw+JO
BWJP5o0kTWR09igTXdwNshdmuGN0YrzjBpeyMD/awdeICynkYo934QjMGfCckwkD/zSJ3HtfKNt8
iXP+VA+rOi2C21LjmYsuY1UD/dp6eJkjNG5K1l7o3oZCV4iYp2Obc4IOhz908re/jRH/xqoLhqkk
wMXH9xm6618MF/2hg6NGXevWtToOkk7UjiPxCLWn+ebX1q/4tfaf/EhMnLA9jKzkYtYjzt4dXz/u
iW7HSMz6f1nUTw6SsPJQ4LV32ZKV+0ayif2RGi1UA1F2RCabSl2HvdfJY12TJD2tGyxH86vETmDE
GizsrVMhqcAio7cgXTmzvsD9zH/uo9YnG72kAFTkilG25U7zzQwhV9PQq3Z+EI4R1FuMOepD3HWU
mbDmPkq7H9qHxvLtZjcjUyd/s8AKR73P9BNYDnjjwjANbEmtH9KLYK5qPeau1FBImDTwyhSfzP+K
B4mrI044ZEZDdROmfjNzfD8vQThdY9k7TRosGIN3M6S/ZucT6NTsvbCsDxP/YX1DaJTl7OvIIt64
sbzy7dwL57BNf+Hn82cqtQu7GaTGs+Feuj+7bqVUyDj4muUBNRQdnR0n9AZwYmjX/v7t+vPwnw/y
F8Et2IcUP4+uvZoOrgKJPOCjzyPW0IC3bVHxfFh76qOJPXrrsBxpQmZO2bd/+umLxQ5TfE+hucbD
6EfQRxuTBaqLYUWdaPHoDMg74iqeqB+zGlcLg091WpcmwIDoqX9DE/+tW5T159n3b8Y7PnZxEob8
T2P7IbGhjwU15tWW5rf3Q9ipKzetxGORMGHYKGsZz/RqKk9tqKlR4fp2NH5F6GaHUMGmPt+N/4M3
fwFvCtNW8Dz+Pbx59dE0H1+jDj1s2/woxzj/5O8Yp+P/yxeeQ49gQ+YDrGRV/Y5xunKJfZa2jaUb
68qWvAv/nXYl/rWILoiicm3UHWCj/4NxKutfYnk9UXBIwCa8C/8JxvnzvurxCZitSWI4+LA/6QZ8
OTlwPg1NHFv2GcFk2BteicGwRyblH+7OXxwZf/VJwAxUoi58ftgyPy6rrFCFWqbxB7x7BzoQ/a6L
ciRYnsjPf/5JfAbeDMoV7FfLN/nDWRG2RjDXGuMREJAOpZd50/Q5wcLV/PyPP8iTnlA0Fg6X9bNl
Z+9mMDPqGYcTxhVpln4GRvyZ8P//ycfYnmJHICX8Z21Hi7KgiexRQ7nB9dr30E4sZpLrdIz/g1vH
u+ojQgK68KyzU9ofb53mRCkjrqjHzuRyxHoG0w/BiLtIfnFRyy76R3oSLx6OqsLH63MpIn6G1t0e
t6DWx3Y4GpCAOt10P4Xjs2VMz7pHnPj3d/DnA+X8YQwLlqkA/Kyft3QU5CVrs9QHmJRwGJmUHRJE
x6vSiD9MDzJerGq5sqag/eevoucoph6LP6TDJP3HV9GpS8g+kDMPMKvKhw4nVawrjPTZSPjT31/j
z6fz+RphfLEruKbJqv7xo+Yu6aYY0tzB6EDrMHyZtokwg4e//5S/WMUeQrD/+ZTl+PrDC7IIyHoD
zcLB8Ecb1eX43OdDcVHU/9mt+8Mn/XTrBhw1aUL5JBJ4J9rg5GPGGWr9/7G8zk6oP76Lvscmy5vh
+kqIn308yyC3vZxhwkH3otxoszew89KMLmcF3kXIEIHnFLW7CmHdwazHcpNkBEnJShUXyL7w3xig
V2xJiO/WNTqDr2eWrJuQ67f4s+46N/3E4EkeweP7K+3i1oOBDHCr8MsKPif/yRQRVwuLSaD+kfbB
Hav8bqp98QKgQJIKqePvfc78dchH+xC4M3TsCfEq+IRHkzc6IXzSDv0OnEIImhWjcyLGi22XZgS2
MgR+aI1EXdD3Dl+rgF3eImDloncsPiVR5QmXoD5ZR64XldtJZeaXJI0A3UkTWhvCVx95wEWnOMbs
SopVWr8Zw21iSxxoW0FA1CcmryMs3Rb3jIDBf2VC9qeP8VCma2Odm1zdnLNx4Q7FBKYtBPowNpeI
CeLWcTgC8IGzSJBB6bzu6TsuVM6UPIFAcMIWBl/XBY32fHzk3MwUL2HU26cxtJL30CuzZ2eAMEfX
D+Tu5OIl4Nr1yh2gfulcAX87zNbIPXG1366lZPDw+5DAgKry3Ax47cEpwGjciNv3gFtzipJK3zhd
8mlaPNMuccQLzsifYzMED60zl8dh2Rojkl2WkHdg9pppOnYTvp9Ft0nsjPcJHnBHdvR2jfIt3vdh
JleUAWAcmegKZLy4PK4AaOLrEM8efAzC4tNBtX2NWRY3scvsAuHFABn5/NpnYE0XRMkxG8A4fZvG
3ISgi3AbUFhv5JUOH71ZgPGHbpy++zMa5JwYiE1A5hwKJqCteV3OtZPtsV039ZUFbc7fOFHQv0aB
Zh6GHoPZBd52jFkcCFGXBqr1F88o7EfI6/mncHE54xrBfxGVrBiWVgeFT8JzKRiVSWyGkrUNAQGT
CNR/6cqPor7cdSOcyXrUcoUalEfQBiPY04ilY0n6cmrgneL4z01Vs+wUKn88eTjiZjLOIHPonmhx
Bm/Rc1sYYb/HjT758Adh7PyCdeS4JBRA1cYkqWF0Ci3A718Z66V7W3dttsPVWcS7REt73s5oE6tV
3WAFssK4wvoy+7r5JmbWFgESk7Uhl6Z56vEJfgOyt0/uRK2fw/OzVzVs1AumATEahwEnLCvlSdhR
mL5XoSguxiAs4Ic2Yo11ySf8Ch9ZIl6CfBG8NcJ82hhTA90iQp11HYKRbLsw8/eJwRMieiLlf9jV
Ig+CkY3n4kPS1ziHRXqMvhcAnIeCgJ4VHna4gSire9XN1O8l8Y0AJR0vwjx4xcWAi06DynJVGS0S
Cyvbk17wve1qdxM1ZL5XAvVU/6WLppiMdQcWHDPFE0ehexd1LEq0NCDsVtZf9W3tb8OUda68FpxW
u+mLh7nByfTHHbZWGaSUUbfrfEibdMVggXCfNuOlZlccb6MMzVzRJf6NpKhEhcCqT7sM1gh2k9Bg
k4mxK7sbjjX93lrOXa24bpEnH+SUejce3Q9Jbo13JwGHr0vA+sdEBfKCyFM+jQ31vfNRhpnZVG56
ggm2djOzjHIsWW7aohu+NkaNFUnYsOdEKvXuLKcmIc8kwNVmo6xr9g8nMty7OUZUT7jEtGFKQRdr
y867C8q0htzYsZOdKy1snSqsvfKOwM+ETUx05cYZ+Oga3uEhbrwWFZM1fI3s4shEtyDetTF5g9Fx
1nF2I3Vb7qJBejyEXN801VJXk13NWFfzMkGsIRopt9Q6JSx9FQc+VCkHHtl51x2i+K1NPeu7ObBb
9cs7YpuzdZ0GbXxNhHa467EMZ4+jklgZRmtfE+6xa+CRr/uyFmtbMsir2nJc97NTPqGW9G9mNygw
qHJrBp5Ef3Q8YcItwW4PIafBY6/DYO0B8uGx2+WgeOw9RsjuMfgs+rTHXbv3y24nEwDgEMTxWgbC
/OJbXXuCSUY9WnY3Xtpkh8YB600YjO9zIsCu2jq+kTgrvxpJ0twwCGuvgmR+iU05oM5DZetNZbxX
s2UfZpxmYctW+Y02agKX0jeoBvkGfclnGQZQK9r4ifX8XPdEkuA1gz9LmGPVBWPiRk1IvDgWsYd1
1BfDLrFcdDn0MAmFLRhHuIDSKV/UBTuOmXvoMU0LUxLmkpP+bZN1VKN3M89gR++FO5YzIi30FOFS
pBd1hxwaS72Hy7sSME2HVdv4Cf5UWcZmltDkEQyOy1e+WOWni1u2iV8TWmH8Uuq8xgOyIpsr0zLO
0Xkw50F9NhBbonPx1OQivxgqiRez25oa+ixqLHJyu01n5ZPIYPmNpeucpkFgtsLhk9Xsf7k7BKS4
DPDQsUQhN0TFfR6R4eLLnmlAHvTeBapB0iuWMTOxvdTidQdm4tfuZzMlkbfymMR/1zY6QisO3ePo
uRot9eQzmpaVbcKnHNnXJ4/BR7xu67a9JaOQoQJDJJ9EIC9Mtq2OaqBu2Vlk0jdW8+6lZopgcswe
hkSSkwQ6xfyT4hotl3an/qLIiD/FgeaL8jrcEkGZjYnhiiKKcScc1hcbR39nk/K5OHsaaG0ByleG
EtOedSrkqkwQw3SZ1x5E1bVQfoMPYPx06w7kwwoTsnzpVrjVtGIkc5g8yxUETnNTKMGwHwPI+Zrl
Gn4NyUvoVqnVGDBsMchJMsM4xqNtejs3zNnfIAuw6YdUJ3RLagAm9jN7o7ngQwrhGyr6ZP/K4Pms
svmhGP0v9s5sN24l69Kv0i/AAwZnAo2+SOackizJki37hpAnTsEpOAX59P9Huar7WC7IfRp9+QOF
gg0fm0omGbFj77W+RZYEZ38TGRGOEuG8qrC7ZUkYYpvyiPCO9caaxus+GSANBYo6oae0vCGEBbaZ
tVBXFKFCCaTAKfV2iflOhH86qIGf+PWgtv48dAiET4eCw+567vhbxe8znOYd4OdRpfgwmEgkC9bU
ySeNQw738cw29/YR47eTYWgKk6Oh4zA5p8/xqgOGkc4tE5SScLQowqqYUdpL660iU/Bi0Pj6Q7dR
/HamWS9IuHgAlcK2UY/9+gkrRYHjeIVkQQGms2GVqAl/BpG8hVXxDKGc0S1Y23eeG0y3L9sOw1pa
rilynz12ZoPgLPqU9dKOB018zR8OdvZ/+vkg1WMyXbEevx3KG52BUYYnekzL0jmTC1v+qO2Wd2rq
pw7cHexRvSPGmRcpzUV/M3rUmoKcuneNoNDGJf5MKVOdAwvz1mxx8uwy5hmRnAf3QiROeFWpXCFY
RmvRwzxDt4Thh3RcVmVbc3DdIS6I39uO6TyjCUTSEvJ/h8AQ/h3WcDbgeNbyA5mM+eeXXbEiFyqI
poVUoj/cC7F+F6/eDjIQPMR/nufimX31cCQD5nt2r+LYe2hUXKOrN5Dv4ErbzlMLPIwo6gYfLibB
vQsdKSLq+fz24/nbOZueMKnw+Pn5SnhMX/0E/QwRvslQ7pMehhXdSOpL40x/WgZ+61hwFRoVFspD
Anz9140YUs5G5oh1dvQciucXlVLVePAxMeklG29VpRCPBLiX+Muntz+g9fs9pkTBPBaQ+UAozevj
MGEBzqjklB4JE0tiHApYQA1CqT+XA6UxJD93fhcayGegkH8owrmFZuhOYNtGF21FXaXZut4qUhsh
DNo49hrKSRLQj9TfeF1wxH5D5wKSjgw1Dq4vP/1/96v/1K8WYvUdvtGvzr6mWfJc/dKq/vmX/tWq
Dqy/YNew5kIGIunD9Wi5/KtVHZp/OaBQQteheUZn3ENz++9WdfCXCAjswvhoQ/h8CdL4FzqIVrUX
uib4HQ66vDS++09a1eLVTkTPSdg2A0C6hYzyEP/+uk7DGoNnIDskC/g60P6NMLT1Ubk0CvCWVcgm
6nQu66u8EMZEyVuh9GvmFN5hFzbus58B4BUY7fO1PHLJnJ/JSnUkk/XEWoHqOH15t6AIM1/7253+
D73vV1sa4Fh+4IBba7JwuCwbv/7kQTcAtFaLuuBx0/cirYzIpUy7mkffRGc/czJ++4JszL8ulFzS
MRk6rEppGlvcs18vaWTSboyhTi50Ja/Axxl5JEf2lkPu4JiH8dIa7VEoE/v21IatjgZn9J1j6LHw
7N0kFfWJ5I5VNknyHpgJL15lhD06ZIbxaN1q8p9u09W+Ii3RLwdnlSTnnWBOSk+HPUIUMZOyVhE3
EBGSjrw1mSruteGN+h7+Nec+sbjPfdUgZMzbgEuFtCMSRNLxeuhwY+Z9k2fQlfD4Riiu+24Y9jFj
X5jumfWghM1DMNlsvcqmFJodVAu7pW/EjULviqA3QaW2m7JwSnY0dWA3po6E35Em1oMQhLFuMr/j
s3UKT7aRzoRFehM/hrayQO9s10JeO06IXD1omuk7/aK9JbfJPlH0pPpRQXxaMg7duHqtPBXdBdWO
b90sBcTpvefPXvNk4Y1Jz71Cmu0nQCBpp/nueL+oCv+LLS39sQkEoQK21XPnso5oI5gOta5Pah17
RqNaBawk1XEzZDPyp80Af3xn5SM7uF5ac9wYZp6nqxeRjmKtqtV6D5ICqWpBKuaLXnWYOfOMA9Rj
jD6wgbdt5t2lNJnA53YtNwm0Pd+C5zDqekqB/jRHZwG9uPupG3azlXyXweUH4uNi/n0/LzVf68ic
XlwScgvS87J+Jf56c8I2Y045Iam7hC3DVHgivUGW+ogqJAXpf2eQvqw3NMgATmN4D3AxZgJqIpBZ
TE3QWjhgeP7kb+vRksgp/WQrQW2vqAY9P2AC72/YfTiblXmMQXBxB1gzee9ez3PifTBGX9xMYyNv
SZJPni2aI0cax04QZVblP1dJMaK+gNmL/5JHNp0wkI/TiJ43zdeavpQxpGhLey72WLCsHwyw8/2d
RQSKt3VHn8dmVD63d8pKT70ze+3a+84l6lqSudza5E/NTpAuNl0Dx4BaXWq+u8ymSPgx5zPqAX5Z
5j+INNH32aoJyD3JOL1OeEY6XJ9oZ1dJOQJEvh5ZAFnfGPHEd4vHFdn4y8SbO8PLBd+Rl7Jo6lU2
jaSveyIrQd9TzfMiGIvPDc6sxvIOBcP0iwtcpkF82XHeH3N6lnls6VuGF+1xSJdZo0MZuPUIc7kK
TTIkC0jdaA1CTuO++OHKPBjWkFXoh5Z6KJbFMD4Yg7+0V72lDHU7a7Ade8nxZHpcSo6Rj5lDBuR9
POZ4uUtE7jRDbfu0AMBEfz2X3EvOlNxLba7q//BFh88MSh1Jaka04bCqpOemxWTwU3hdaIMvrgY7
orbeuL4UvcLHRfrsKsivnNoi3dJAV8j0KfWetAwG610e47WLgIwU9VffngRpB6uJIVgxqGQ+JATO
+nGi8s9KKPzRG3eAoWPHQV98VKwQIoU6hOL5XV1WlUfSLdmv4c6XiaF2Py0AGNnzc9eSPICrSomb
HIy0/hgMcVt8d/3KsuhBzW0SoxkbLetdyf6ztJissDif4sqC9Lqpa880T6ll0yNwxdrfN7LEhHK1
YLfLkuCmIgntyR0HFLuLeO+PiZ4iRGDDI5wyYwdUIAXH2HSRPSTpyZZhDIIszkD0ZuO0EbYgxjv1
S/dI58eboJnlrZHRRueouXdoAFQ5c4iZlAgJvr1pAvNDB+k8skvzMwp7sJcEYGyKueo3WTrp4CgK
K/kiu9j/rhM7hkKkqne99K6GSRGIXEil77zaTz679ljtSjapLWWffc/QrfosnLREV2jSbvKXEk4t
cNPbMAEB7zcFpxNrKeQ12cPy0co7n8zgrt8vRk8LYNQ6gugNmbmcmnejXMorlw7HbsBYe8ey3nzO
wyF9PzrydvJNnR9U2zn7dm41rOOanGrIzu/RucvHqXS6ZK/6CiYKGxhI9XaBKx0WexB7RM+0EyI+
6dO9yUa7fmDTaZ4qF7nuNl+6ah9kZv0x9bz11paYpZmZDaSS+qBuG0/bQI/HcpvEfvcjU5BbJfiJ
o7XkyX7CQH7jJp3vbFNg5jOkE8qB7Yr8pSFb1odAtvM65bLrk59qa5+44o7E0uZg6nTYKj7jE/5R
uk8gu7xTxflr3M2lP9y0vRO/D5vUOxjdUuyR8HkRkeNLsJ9nz7sx0r69sGDPR7Oq5tNkiPC0QMol
Z0SpCEnmELXDnGMP7ryHMRuXb6Yp8wtxTctFVSqU27crlN+KORiV9Jz8lzO+zdn71/qkrUs7yCXu
Tt03tFOqta072WxCjkFLGO5OfSGrQx3fvuqrwxtVkY8OAzT7SmnEXLZWTX9rZjjxkvrp5IbnFsfk
J4BsLAxNb1FjvH2dV0f2l+tAUsFmRbW3qh5+vQ7xX97QhUl8duiTs6aaqvn0Yrp3dczS888vto58
uZ0CZchrXRYS8M5IKALPL6nY9WqOftEHvEje3r7U74UsPRJccdTiJuz714P0lnyTxtCmd7bhbt9U
q+nWnWAb0AuvL51P5+0fX4+gM6RQAo4ppMpXrRnUbLy2snTPy2qf+LkFkd3EjoEjg2qky2Zu79vX
fHX05rvjw62hZ+A8+fJeF+tzmTg9+mnnjEeP6so3VusMCyo7cKVX+K6DvsWOjHLk1yY9bf2PH1IG
gS73GZGdZeE7/PXhqSunNbUE2jEMmTpOE75dLTDWvP0xf38VuIovANZ4dFQ4mfx6FRlbUxUTinkm
TQApIU7Ogx/Mf2pe/aercKAMXAR9TMdfv+Zeb1uta/BZXpQXHraJCH/9/8Nj4q4adxtlYrDSXn/9
LEXLdBgKsXu2YmgBwM95KMYZzuoOSYe46RuNRevt2/f7+sWazmrCx3JsfvXq9hFhEc+T9JyzUcfe
k8D9yXh29awNkn5hBdCAiOtu4RF5+7q/rywBSYU2jRkTeeBvb0RIu5+wGdcCLoqgNa5ZJ3sPwcyS
4/t7+1L/4SPycCBtogZHvfJ6sfQBB3Kp0sL+vhquV9PfixtNOmsDfD3B6fWpefui/+nzobxE+Wm6
tPhey8RGoBx2GnriLD1kLFWJakKaQXrgoPPHN/2li/a3biKvOkJm33Ucxw/94Pc3bR27mqwnTGs7
HPO5KF3Y3b4p78mSUjc1vFKGJzNlsp6o65j9zd0Nunod72lCOhwuagaWIFS+CXzqVJ1Lxfw/KLxG
/uG2/L7wQs2x/VUvhYJJvJaaVZk7ZVDZeMJLWtiYp2AsrAD3DuMV3TzCnSjr3/4mxO/vLiJD3qq1
FYnO7XUfMJH0S2L2ONycBrWuDmzODz3Ium+BEmyZIPLX5z3PxE07yPbTOLr4Te0s1PdtZ7Xy0CYD
XlqqJIz44HPSf7w5MBxAOYlOzea7e+lj/m0zN1sk/CDO3XO5BBTdppt/FgnD+k5iuQNcQBT923fk
t2cTUeH6NtDK4RF1Xl+wJRCIon9eztDSkSGDKMLX11Y8pnrtp//zi9E3sml0hyw1r3cB1ByhmbTh
fNYJo/W8Am4KaolTjms2HBffvthvXzWfDF03pnpsyCxnr+qisjBE08XmfPbi1dr508PMi8gp8e0L
Wa/0zUhhWS7X4gE9I1v668oI50mmvcafqCBU2t2anOHwrAVdXzzGuE+7S5OPdEJevNbplDL4k41v
K3rJ6zZYt/o+zQr6BMbEYYl5I+SgBRPC0TQ8Wll0vey9Kdfux4SxZDlMTK9ue4x4dflPF2KPnPaQ
uQz7GuLP16VQVgG79QlAOVsLI+wXvzaoouyQmHO4e/um/fbycymeAWgI6An83wZUMO6sftTwWxRy
YpgoOZ+/rYmhwRlZX0is+mP/cN29/rYw0vNnPbR49RkCIEB+/S1VS2mLVrnO2Wu18x0Kw3hWDubx
l4aI53d0ddpFksujtfWHl8x6/Yg4q0gTsSZG5nUMwR7w627uSDQOSG3ICQTpWy5QOAOvgFwOBNC2
oknHwRf8R4WzHWvmzTdYD3kDbWAUR6tfgQovmABzKOkiLsXar2mVvx4sBsWvXzAoCoNHDs5TZLd+
PxsV/9KUuccQSRKT6iKw6zs375AZrI+XNNgMDnOvRHMe1dx04BU6fetOGvtzFzM/vhQvvvasHfGD
BwlT6GvXNAq1JZimvJvoNmBy7Q3SrzLvtp6FsRxqH6sPXWxAu6YP//WKtrRZRZ3vDiFZTQordEGA
DWq3ZoEwN7cLB+glOwMuExFUI3eAOCHSFvzw0Gb4/ze1ifn62V7yVVX9kxwwNEKKb/g5C5riRs77
EupmbYZi3k1vxxk0w84nj6c+eTUtSlRDYZwevbHgVFS1C3/64pl/KT6JaqHzEsq1rmkb3rW0ki7k
96qDcFsQvsPBfVY6xPQZGPq+0UuZ3iJUkvVVkbRjf9eh/ym3KIp4u2tRNsV9vaBo2aqhF+2eibC+
L0ykxonn1cU9OoTum2YMvtDhzd3lu+1VGCFUK9ZW1IsrHX4Xf5GP7j5jtaUp2SBsZlRr5c7VuJJb
6WgA2N1nxKLovdcAmdvSB6Fz1S+YZQ5BOZMTiH6Rf3FACYcobLKrU6vzwXiv64xLtyvMYBuaKAfa
TSrtznpXTaPb34vMwMhY8Likt5xXwZCJ2YenioLQOY0jVvViC5fIiJamgnzuWSzh7pLwBFXwChB+
+lPmXzmEDU6nFI81waBaoKiplaSnFTRDB4ZBcobdMJ6ly4gAQKsHUbkQAoLM5QGrUuTVxNgo9oaX
OoCePU8fVDJaDanHFO4sPB9OYUwjJMBKNtf6R9gv8S2eI5StLy04Vw78MHaqxYOD7/U5i9M03nVD
hy7752vlrao9c0UHTT6A/+cKv5miOT+LB6FFyhSUXbGNrB5tRaQ8l6eoDbxV7yZd7qvVlXwGnH/D
F8TJ07jXaCNvf45mBHQN3FFrIZE41HZB7SM0FfnaiVW05zcNTqcjfMAVM7Fuf7430GRM6V1hHPeZ
R2wKM9M5EUeF2V2QGvGalo3BpAFSAjfWIV3C3uehlWR33Yt9SIA6UftGWt19tYhWf8YfbxuQjn23
KO6DOtTDtaulePDyvHKigWyB+XtgMMnYoRe3nLtZNHSB05na2Ob9m7CIblzGACRopbQreFYcpjko
Q53e9j9SmBewNlzC3RniSvJssNTHMbqNiCXcJchMdXTrZ0lTErhXteDUdhC8nUvT1LTa6JD3AQ2y
ZRjz6eeO/99z0j/OSXlr/rb9/p6wklXV967un38dlL78rX8PSiEQBaAlaFu+mBf+FrES+i/uHNML
XmahLzPUfw9Kw78IIGGujn9xPbr5bLr/HpTaBLOExAVxqoM7wb/8jwalBI78un+boeAQbPn0MPgB
TRhJv26hNrKAsncq81KZRp22A5wAz9gCgIwB3gvd7ArHBvQw22Oj9mQ4CZj5TW9/11qCeiyXrGLO
NHfXMMGcsEbYjV5PL9JxyO2jutpOnfiSBFbyCOrDj7LEcz+O8CavocT3t8sEAn2f1blLoghqS3Kk
+cNo9HTYHIw8LY6qz6uLnwNvQ85+J1VvfzEmkOEXplEaqL9n9VdjDlP+0S7iwb/qlnYBUyq9aUAn
VtrDt/xleGt1mtkYIUeggPfLDAl6Kbp5ayvTRsxuD58QlE7MmgbCR64LOwO7h5zQb/YF3+17QgZK
L7ItRM+7RsbZo0jxVifMv0DGZDntVcdzQULCuX3vOYN16oBAHCydf5PU5bvMz9bwlDYDfkFb/5Bb
2cMM0e3Wy5lgHvlP7GtA3nFJVgRcur6ye7VBHG3vemE8a4KxN4GZl9OJ3YKNAp79DkMzJuoRSNuW
RmXr7rCSdvfClO71GDKPEv2w8jTCsOXUv4Txh6UM/PfNGnqt+tkKTtgwbGObd40rIQ46rMy+ivOn
EWTazrAtwizRGHEPGkzyg67OXlhLIh19BuFDOWVrZRMzG57n6dIPfRJERtKkOz/DEt1WiZOZhzhh
OgP4AXyjoltk9dNxJv672tI8IjvZidt8H8xxfHTq0npqFhuI6NIZy0MoIf1s+mTys6NDKrWEHxYM
1WMS+MiedgN7rDZ2E2D+rjswG5nN7pQmblXiGZBuJp6JKVUJ3xyZqa4rw13ZOZEF5/JmQUi502aM
kwBh+Ine9X2AC59gNRJni6Ke8ihz4Y44dVtCMQx7NN1AmDdyMexs07kW2QlLPAJYDxpChf2HQgOP
d61TMqhrdw7yzTItJMrXa1pzG8FzPgDXjM9+Ue0rKtNHw0jvNAK6jeIy+2TR/QavxidhToQG+lm8
j8f5Pd307tQCG94tXguQpTTMU+M6xb6PW+scGqz3BeXsrjPQ9WIAzs4OraQ9bAiw8HJeTmbLq2l5
EurLbH2uehLDWwH8ArYDCKM+H/cEd/f9mXyn/ERV9kVRTZxV5iSXlskEId2luQMPf2B8FnVOM+xh
N3F/DBIfSqOKktYIDdSaeRolafrdXdonPBnkHDB9wDxngqx0FJR8/Irwl4c5uapcsrdpwTYHoKvv
+8zoNqLO1kRxN44clYtbfvr8kkO7IKieRv8JgcfwHSDKTHynzc3hZTu2zcopYIMkvI/8orZFO+u+
b215XwTZ1SJi6tLBJHZmeci8/gCyKDz7yXRP+CmAQYIYCRzYJQDzVeKlUTA6j13bHoJZX+eWoYEg
D3qvGtnvxphhWhI7HzzE0ZuJrNKtKOV36UAxtarJw9WTDu8zo7oOWiGisIfqCN+aRTALrp0GyX1e
aiZJQSggmFANmGSC7KBgVAxHx4lnq+kE2AxGMNQ9pDCn4XAMlPy6+DMyAcsMzx7L5XlQTMx0bOc3
UB5yiIU22eZ+Ju6StL0bAW0YAR9qqasbTUzns1xXs2KI/QZdW2dcmsZy7jOr9c5106cRXxglDVwZ
pNLpk2lAw0JW8CPF939M/I4jStbKDXTmGaxDHJ5Rrdm7jmX9rrcnbNSLF56K3L+PPXXHGNzcs0wQ
+Jwbkw8Ywus/sq4MW2v0YygIdp/f5NZAgmVf9AeTL2pv1u3ARMtN722tw2ulTdQNRr918vITdGEr
YiSH6LvcV+QTAVxr/A2JlfdELbK6IGPFn5nvSSmw+fFq5zl1MojWKbtDG0c4NQg0zPsHCFfe3oIu
9H4qpuvGaFWkRZ8/Imt5dOF0b6QxPndL+OQlRGUMLkHaYmiIC5KQc6xpD430VHv5IbRywvPy1rmx
RNIepkB9rYj625Hg2R3N3npoYr/gAS6YZJSpHC9uO5k3qbDvB+hUsks/eIUFIBluugnYY8NKu8O1
85mobUavjhsV61raGMFt0NmHLsv1vearQ+U9JgRQeEvwuYgT8STdwNsq2+dVMxxOrP5IXuS4G9vi
zOm437tja8EIzAOoY03G2DwkyLmYZXBAiL6c0ro/wiA4j1lcHAB5ZlESGg2jSoNo1UJGSxyiF0au
zLHQGZyv2On7lbdrBDczcfR3abmyZn3VXhNmYUTzNBL4m7vpl0Z7TjRZw5XOQHFUk3wUznisiCMJ
x4WNNQ9xCsGWGemDIrcsv466OobB/JT7BdQhPg/CgbqIHNfPLuMMVRvV8N4BKW9FCRGmNxryL5jw
mPjhgVPYxc3cZD8b9rzphsT+RMJ8c0/3qKg2BsPZBvgFK9NY2tVtYoxIsmsFDbpnX2uIxTrOtZtv
hRDNvhqa4coC24zKw+LwMpikOtjGY2pM6/YMC74GnGME7s2EkfcDYo3qnZk0o946s3QQTs9LPtxX
uRGcwq5Yznq0Hx0NBASgjZEc4xJtBBDHyYbeJ8WkNo5TA9Zmn7V2kMa+lsZ4K1Ifkbwz9fedW91O
lWFwgDTuyjkd3uHV/dgRmrgftFefSRD6GHSOfNAZKa4G4hcalyMxnLL9zPLqABWb4+d8EWqHDkoB
AzOsHUye9OBJiJJBAF+iLBw+bDd+WgPpd5UZGNcJaqUPeNymDSHwwQ9vIOlnYIy/cVNbPteBP7/3
J5KyiyH4ZBduExH/5X+AaJttjdgzIzxe+QPsaxM9Bc3T0Cd/0rZx/mlnfYn4wvINyS1wd5l/817z
4yWcYHZl/q1RxZfZNKCThNX40e7Gnckk/gZXnIvzgS3bhwGJYD5TTsqhWDmbxlTygtq9hkU8kHcM
weAaltyxL+IigqEPtxUUzz3iiBYifpAOd8QkBcfF99qPxhIe637WDyO2uL0IM7KJQyJZrggJ+9YW
wVdWZ4ld0wu3nOGGxywXF6+yw0MTYvlxEXntcECxQXC4BkcEwjl1LdovZB5bKC1s1DiW217looMr
13fzVYkt7QibSBOA0n6VSSmiQctM3DbNKN6zQHYIxgZbBhuvhyN2cOCW7J3SKdi8OqP61DK6vCQe
fCXi3LMPq6lnxuUhg9XXMNvvy9QWX2ioeF9A/BEDtPRJSPgu1h7a5jv6XsXewlGH1glTDtbIsz8s
BhxmTA229S7moGLz3laK4DxQ89uSygNPWTYmaVTGgr7kRaGR2AMGTN5D+KGXdU2hFZVQ2lW4nHAZ
fGOMBZ8GGO+2ZF6GRSxZxSk1Yd/aDTdskge+tbObO/0m5CS7lTWwHO0Mn8fewQi1NMOmIlZw60p8
Tipu2f+KmijACpJyDD0UnZs82ggNNqnKMYGY0y5W9k2e5jYyIU8dZOMFYFNLZIQ986bCD5GZpXs5
tupepaNzMMWXQaYUTOghdnkZP9J1KjeyBXhkODZmxqbZdq7C1JLHDG/naue38rhUPHclDj0Qh5ZY
gZENdu+RuGfdspzAXUZACWmwRTa+FOnnKeyvPAp8YHfcYmIHHtHO1zsoCiiDsvIyeZi3chEgotOU
hmjbyElJ/IY9UdanunbuQ8QlByJivspqeERVQ/6cR1ZtyTnF6l3gxuggyenpt40zE0PduOraUHqE
lm1YHxi6wYKRZfmo+44GCnhsCO+Gw3BKESVRow1JGahurLyms1Yuj3g/UUSh04qyOs6+FUpshfYX
LG485Vp6m9l0yPXTQfzoC3mF68y5UQ5G2KGtflD8Qq5Ou53IlzpKjcLiKx2ROnbpfpFD+Qh3KttK
fKp7zM7hznEodrARuJvZyOU1mXjQQLFq70PTbW+8IP5idirZhoXGHjEV+q6dkUKGnSeiWfpUPQIP
i9nkN5WehxusOlFZt1O0dPBkU8ecbzBQnQ0RmNiyajvyx5EBfOhPV0x9v9WcNwiR+mQFy3PSeAdf
dMMVx9yZmwE8VS6nOCjGHaq0g0x/GEFLULjXmVeiy5tjW6hb2K6XSqcsj2kbRIgXzH3TcLxFTGcf
iGQ8WLUr6FblF9Je2EBzE8dr8Ag+2t7Y2fKs/eFrPCSkiBc8P7V9N/TXfh0/1uPSw8+uks+GQX7F
ABgdQvcSJbZ/tYTBU9DgGQzD+lCwOW6sJCCbEO75xqhMceU4zV0+UZ0ZXW5G/bCQGlWQHoLVr54o
z4xbIpPGAHyQXtgS8piPy07QIj1o0v0cBN1J8QR/nlX63S7wr9jxNG9S2+rIHnZw/gKqLz/JOi/r
XZaJ8oYty0ExV9uSAq/GI0r8ZHU3Ias8joZuV0tuccgzI1FRY5HdEdX4QT/hdUGmR/OTQ07TPk5D
IGl0puOJqrrA5p5WByesnH0zL8kFd7S3h0vzMKsFRXUdvguDIb+Fwyh+uFk3XJY0886NHSi4d/Oa
BB3PexcK14NT4f8KlPXMGT6/JgGbA35ivsMUNQJcr5Mrm45dNKBgv6ZlTATYovXBrjG9EyRf70eC
JPc9Uw3gyYAm7QrNV2U7QHDpvJWrZybr+mRLb8PYoKgj73FAXtzk9s5KZfzOQyZ89OX8hcA9OJyW
j2hXcscoaq+rQVYggeaTq0Zki9N4g/yOsqJLEaIW4WdsVKDgAh/dZ5kiym3cijJILdup4J/vQgyX
vDuJpyn3OPXvHYtQlF5bOOXoYaYEBZ6oG09+WaHUluW4Z7lyd6zmM1+9W+0kFvccTw+HqeB+yA3n
wFGYjout809jEYZrAohZXLNVswsB3yR0swsvVVcFm6bIyXOJfXczFLCGaXlvgF21uJw7E2+JzI7A
SkWkgKBtUBKaQHzb/tzV9o92IRURGRbE5/TJWrIbweq+0wSX3OaKr7Eu4MCGBYmmUk4AkQyx8YiP
3xbouS+Tk99mFuLGoi6vE8//UAdhd6C+biPd8PjDaN5XwjwkE/0O2bucZdx0XoPE+KcQbiJ87L8v
dYOSsL+e6d9v1BzT4V4Rqy3nLMuuopIQgc3UgwCLiSkgnCBCW8yq7JrxMa0levCicSla5jNs4zga
1nAxc+hZI12hgDGOX0Y//5L57ilw2luN8vqUgfDccoS8sER/aOKx2juD3nHU4kmmyx/1Y4cVUGTm
zSIG6xDoiTbKwqZLzxfVtrjHLHwK8mG3jF4RkSFWhRx0lupj6xi0TaZpCvYWPWbWzntrTmY+EQnk
hTdx8gomHEscB3vD3CwLuRR0BLYizqZzCj194zrVl6qvw7s8MfgiA/cACy/dojhcHlFU3PpLSKJm
AwLQ7sx937n+xlEq9yIKZYN4Gn8m+dfPH8o4/R6I9qZboAMG3jOAXLriz70oD0Mf/FDj3HDMzbD9
iiUnJj3ctnkVibzJt5jcfjS9KiJpFJ/T1kh37dr6Xx3XhVXDjl0CeiVLHibbqqIXkIqFsgXndl7n
typlgY66QXk6aqD3vIM6bZ0NanpQ3IlE7z9yKB9bKJvdwE6O4J0UN7Npd1WnK7VNe5+5vgcJUVxg
DUQeKD8KsUIOe7o4KHDk4G6KRfgtO/TcDkAMFnVw8AWHGywS6pTJlgEIq1q/YXao3JLSuMUHq6nI
+wcDw2e3LwPUnntlFJMCtpzSavM4I8wsH9YAT8AJRUsGEPfIjRt6DoS9mFcDFpgvHbD1osf+H3Z0
LH6Om/9/9+sP3+ub5/J79z/Xf/grxQXrXNr/r19/2/38ffK9Xrvfv/wGekPWz3fDdzXff+8GyV/9
yS5b/8v/2z/8H99f/pU/duL9ABvRG46luuqfq1d9+Je/868+vDCdvxgRe6yEq/6ROfz/NizhZCEG
nTUXTxLmTqgu/8ewFP5l4q5FMOIhSyMY7W99eOcvDIyYn9BsolhDJPpP+vAQCl+14fFKecLmf9AS
V13hKrv4m0KlYX0kgncmJoQ6Q/DKlGxDCBfcyG29Yj76YNkrFryEdIzVInBNvLQRSb7Sb11MB2iD
D9ki8MRMW03ca8taV3e+93Uhq29HekrgcBho5qua6kZ+zBanvaq7xfyW24kmNBCA+bAxkZOvScbj
aB8yw6sf6RH69LLbcBzPHEbUdK0ar9qlTElxs7Mf0//1CM5kmhrBse037DhX5jA3MOCbgPTQvFqs
Le/o53GwkMCzc56cUZtzNOcAC5Cy8BLC/XT2YRCnxClPFUu746XZNfzq6TTIwT8aalCnsS6BgKqs
0ndjaxysfLC2tRV+nAhYO6SG7CncwfzxU3E6/6jdrkHebtM5wKyQhoLp4HpEJqSA6PC4Bxoqc8p8
1CIu6OJqDVJjB+iiBSTwQl1H9jOBnMsg2JUy9wwrobslOzb3LhMYtq/cEfKe8PTH6mHxmuWEtaAD
deyrRBe7lcSMhYNMy4MKmpToWW1N1wSnEFwq15pBCLPa0+ApRxz0Tpr29jHPdIpihTYaKBP/slAi
ctqKRCcESGsCQoecSiFMFFrukyhpdo0XOQF49Jj9CWRBL8N032+2DeiBTyNYtfuuw6fE8cTQ38LK
b/IfIafUHzPBkJN9Y1WdW+IO4My39/psVT0wb/efGuDOhCCU4XhFpmtxZpaOjMFXRZxSlw/5KaN2
s3dKFndC1GpnZjQ747SY3nUz7ZrV2ctjSfG6nUEO4mES4hzkRU0QrbnsSQItgMan76Dk6/veGxwS
4gxpbbNQpVUk2z45B0HvO5Fjc7cjKw9iVOgmu560Z/dUalPtl3DpnmurkV+tvhX2Piw6j1qzZffo
gzjgiEXGFD3i/2LvTJbjRtIt/SplvUcaHDMWvYk5gsHgKA7awJgaME8OwB3A098PVKpuSlmtvGXd
mzarReWmFIwgiHD8wznf6UJx6mxGHI4NxDUrae0PTjV8TDKHbIe5dtxbgyvoMvhq4o+xdMwriC7l
jkWTsVe2w6KCt7suPLvZi1mMd1Xdi6VXCbIbR0Q+x3ygoQJYZn61zAh51Fsd1X7uVUelTfeSQs2g
S+oL54ywYz5V0cyzmtzpTT4kb3xG9h8mQ6+hiC9e0gFzGRzvjNQXZ9WYRx8TmYQ73FPQkDPb2eZt
Xp0G4TcfEJxcyFN275Y7+yYSnbnxTZulRiuuZ+jqqySFvBLQL+6ClMqcK9CYX2sxmTe1m8cv0GeR
6rcO7g4I8Yeu4KE6pV68zzKV75H6RuScLtQb2C17MiXCh9gx3BVxKtaZAMun2TJvKjtjZcQw6Axj
3T0zejQOQDv0s9sSerXK8lEzGrStV0K/GYUP+MDilS5M+97DQQAAv7O/GlCkynXP1djlc9YfYfF8
Qk4XslOLgLAYw9SGq1x5zkNj6zFh6qTqT04wxY8MF2JzBYXF/Z1umZwvVkH8jMY44gbCjIKjcdUO
5F1pkyFaDiNrHYCPILAdaYpdxcFhdD2i0Eh1DFYDyLBd78aCG33o0ysRJsNjnyyVC9fnEYgzjOmM
AZM1ERcP7crNo/BgEBUEFsNu/VMAGJv0NKcIPo9eldyGRZDCxaurz35qhpvCxKEFvQOn+naqHaKY
TUGMZHbflzI4slkdNzl394MgI7eEpD5ZTCXtaK17ajUzw4g6Eh+xAvEM0AWp5aoeTPtjXcSQm5KB
Za0WTgauxXNf4Q6ESFea+b4emXQ5vtTPNO0k1tpZvZCWc2Sg/viJmGFmyJbdf41pBNe52xIeXSQd
wiPLfrFYltzMIg1vFLmTt1Pl1jtRsK+1KPyvIN6YD74An7QGx5S3u7ru4m1Xt+YbchS5ccahvsd6
D59r0gnrVVQyK0f08Ve6AfNQqcp/tS3C1Dczt9Z25shZJ1jCvRW5OHpT1Zz8gWaE4QfKu7baOV7z
jbR3TiysD+gcm6tAu8mpDmVz2woagh7FL1c2TCbCBhg5u0zQM/zvUbLpzKlAjyOYj0Qj9jghlHWc
5TQNa4Q6X8qSDYcY63Blu1Z9zcohWxMdKM/4/fRd4RvbYcrD65Y1VbpiNZNEpIIZ+TXY9nZDX5R9
LDpFbFpXNNd+E7C606JjUOcl4b1DyvRBBf14rMcodQjFdsjTIgnvRqomfy4Buj3HQSVvaRcjss6i
9GoYsR8lOpg/COlM28Sss/1E+biNpp4uHlo4hk1+23pNLoLZH6tiVuxl/OEDFl9zWqVOV22MlHbS
cx0i7kgLuG07nzbID6L6VGmD+VuZ6+nKzaYyh/dAtFhQOzbXsdcvzkjf5yqWUixh2NCyV5lPIhXe
J4ufb6zrqEpv8QBoqmkzfJ5ml02IM/OgDyoTlVkXd+nOg0p+9tOmeYx8xSrVQCWas0sLUsJbgPQT
aUHWQkNk6H9kKv+z4hih7C+L48uX3+Vbl/9YHX970R/Vcej+Bj7Gcf7s2f/Dzv9eOLvUzF6A6GSR
m/zTzW9THCMBDjz/XRK/SOa/i1TMf6cYZgH6UzEcAChHMgsKk6Lc5YP9WAwX9mCYRMypM+j/UCXX
cy4ti7vIdtpsqs44a52pKVnf05xyAAYtfLFcP7qB9I7d3EcPRRlE86ri419LkXk3luy884i+C1kB
Ik3EZmDCV5Yt2YLN6fDidGWJFdxvCa6wwoFogyC9WMjYORllzERazda2Qbm/ZgVoX/q4dKESkgdl
qqC8zXOzuu21Hu5DkGkMjhBNPiF50KfFoTasRuxBL2arI6A4iYEoEvnYfZEE5b20+iePiLwjybgj
U0o/vvWIVV0yKOX9Ypfc2SEff44I4DW03Z/yhqoQC2uORkaMWydx2PSneVs8DmwQ33y/bMGN1RES
hhn5HFic7hbfRvLclvkwkaKTNRs7VtYuTHyqP7dN7t3Ry7bKJFsGe3g1nmWsecq33YeySJGkUYCy
p3SoKNegs+bHqh/ytSnG3/NxZP5sq5xDwFDpuU2rLGew73YfcfVTArT8DT8URApcAq2SndEn80mW
qKdWCTX/plCBv6j1WFNk0HBvrbDLDkYR3zAFywjmGckQT1xmCvhqDqauKSeSajiTDwrLRJQegbEY
hx84GYddjpp03bNwvQkY3x8mq62u/dbUZw7E6UDqsP2WOXZ9YhHVP4BsKUaOQSPfVlbDtlMm6GFK
jqRrlH7mrhXA1HEZVncw8uyHfnL6V1RaxdfJ6sxHizCYjUcDRJyAa1zs1Md4afYvXKtmWrdjFXLk
BuWLLVO1E0FTbSrO6q2uciTmpmsgrpHj51Z33Y3oG9S2Yz+uQ8KE21XGjYPt3gjDT0vAsly3UrAI
N2Ybw/jIPmPrUF3cVZ0y4eCGbY9nqZwBJNeMAHE4sLZw3pSlgqt3ux0Cs+biSFJshspkBkQA4jrp
4nFH/iwUP0Xxe25mNKBF3AQHHqHFl6yKs1uzQSqc5vF8k7tZ0wAsi4xPzLCDchWRckMkrfZYluP5
G66q1PNp7pPklNJXrvB9Z5tFsPjC+Nh8lmM2EoOWm9uEFLbr1G/cEaltq+5IO51fSSS23JVRNOMV
GZDxI/mU7k3QOivaJkJ3lF/dpjh67y1Fb5i7dg/KS83MeYQgXsJFTUC0Kqb6jdf1Pilz7FE1PGqP
h3SWRUeLrePRnXg4r1BpMMimAqDLJXOmfOIYaahrCsKM49bcqqF0t0T/mNd+Iiq9JEU3a8qtYCsR
et2UcRnfyMSxNl7r2R+LdInx4Ls9PndRAuRsDIbpwfNyO16DCzNgSIrkQH1Zngao/WTUGvDX1spo
XbWrGqpweK/IRgxCHMqLwQj/yRdVC4fUqyOSsNs24iRJm3kzl/XnAsLRUqOW47U9+yVP+dxNc5AB
yniKVQeJKcO6FzEyiEcsNSIDVJcBctyNjKqQEwTNeGcVpniWXVQNa2aJsml3hVe75ngt2BKO5ELY
cTlgIaYyictwHevJC2KEUtDFHiKGnJP3IfbLpr/v7WRQKG9w0VWnubGQa637ALFLs3EIPdMPMhvj
4BNB5RH9XAKBVbsfSjSprb8NGrZRO2MY+uzzxJhD5GBahZQ8uJj8/L8ef12nn2Td1V/7Hwde70Os
/56G/f80JLNNm6fz/3lIdvmi3j7/WAV8e8n3GZlgRmY7PHZNKop3XPx3qI9YDEzfxakWz33s2D59
movJRFB8/PHct13+L9cLuCEZowUL4Of7UPAP9A3zxG9Dwn+BwgGS9VMd4AkEfR7obxs3FbSTxe3y
p6EYeUijqmRjX/tR55MJ7Lh0SwKFmDsX5mYiyallhl2fPBG2gkVFi5ZgRuKAj6LYD1bXnt3IHKwX
4Cv5pfYLmVy1yDUQAzYtx8ZAkf1kK0e99DnYxT6eOE8aPHzrUAU8Dps+Y0bukWW5H/QkiHrp6tdK
Repmxv4wki5cLf3/LH3EopHUu5Q1/sGXBPICUAFJ6zdTv/dwUtSrJuGBto5jJOlgXskIdqbJ93bJ
GOj4EDpiHjZwNKApDwXEQjZd+efWN9qbNHZVySagHG8iwqFZLKBFNTdlU075AkbJ/WM9SYfRihgY
OPFd5f+1FyLDCaPpdNsmbjsdQY4gfynLaTROAR8QK1A0w4Dmi1zadxZbx7vQyeL7OcvVTUt8KSF1
Rb/BVEVxH3U1jE4t/UMZFlVLkGM9x+Q19QQdB0NOx+FIFHvXdm59AODV+3Oz0ZCw+/YQCTcd9mVk
sd/cBxx38c6XuFLNDaAQWZnrvArGiw3boRJrWkDj6HSihpfcxC3qncwjp7HKt2lQGAWHbVM4kCEU
wdUrySwVlZubRmq85C1xYzAzilSGq6Zm17/j2AtiiLlYzGLkYkkWMSeZjB1duYBo6nbYjbmYg/IJ
LKN+STY8B+AEH8xOiwhcOUu+Tet0arlxCHKeR6wlO2PM4PDmpUdS9Knvh6ExL4I8495Gr9t1SnPg
QuZG8/wSM9C05lcO16mSn3vdkpa1ciGhFNHdfw68/9FWYDGd/frA0/84vJVNl6Tyyw8a/W+v/OPc
883fPCEoAh3TszhB/+h8fOs318VVj79/MYpDFfjvI5B+iXG9CwV+6ZvcZZr/vfWxFpAZ/xzRPw9P
y7T/nSPwJ7Ml4QqofdhagDHjU9CD/XgAsgUcYxbFM9QLBuP2zMjK8uKnP12Uf3HO8iv+4OB7fxNM
g5ju+T3/Yt6G92w02HqJR8/xLo1+N8N/Uf66yZ1+++u34tHwl7dyuCwYqU3fdH+2bNfA4dsstsnD
VCl8mCJlcmqxYyZwAXkOXtJDiXZlP86us0IrWP/N2//lcrL5xH8f+gj9+KP9/DxBixm42rPaAxng
j1bpPwdEzv36N1weSX+2Q5KtYJFAafnYxWkkvJ/sFFIa02BGoj24Qj/Ce3piCl2vB7gV7BPaL79+
M5zVf307x8II4mD5XCzq3Ih/fkJCB3bwSnTdwdE2Wel5KUACh0Z5yl2qzwKFMxmjoIMBufVghG20
HfhjQ9BB5TtqmFaRwRYBvVgJAZ8fkX6BJSbdMGTz/o4rpsAEXWy1ApBMCdBY0kUfkSXYv1uZ3lOA
9l8rZ0Gyyd60nhASYG2bwqHcIMe0L0k7MI9McnsDD3Z8mtiYnBk063hl01YyzWrD8tFzi/g5nfya
JFlp30Vx7d64fZXfey5LMOUg3YKzFF8GRW489Wm0WajHuJtJ4VPDPB+poK/ROaidXZZfHb+4r1Pn
EwuWu17WJSuWoDw15vgxVpB5wyUKj6EUZgGsKpu8mdt93i4w+kps3C7TX5i6t0c/S24aEm/YTLDl
cKxy2NKCepcRUeM6NLzoxDPtyTdEdMqSFNpmh+g6VQr3oRHCwSfsbxJZdpnDNn7sPewFQ0DfHKoY
+FKMvElH6jCnRbTNwPVcs41ZDwmCgwiwxpUbm16+ZQTaT0stHodHamy06SmQscfWh+GQUHytrQBn
YAPSDfNOI1jkVKOU3gen8o3nJFfypqpxXxA2MVqPtcjZGJEyd6CKZGQgJUZQgBvJVVS28rouTHdr
kem6KzVSYOr77LYl0Hyd6Ups1TRYO5UW5pNT54BhFZsqI0mt4XVITZwFa3MSZyhi8WOaMEiuUjjK
kVcCLmo9lLg6XQhCULrPUZTIu2Zm6FnK7hzhe3lt56B/dJAtHlAIiGsx2t6hrLgX2LOnu6Gvxn1V
2q8Jo37WjSnyssy3R4CjaXhngoveg3GV13Ns1LcLP97qhumaWOWGRNmmMHdSQ+yrPZfGOvUaxhmj
m+5l6AxXacSjHMqPdwu5axdFNr7vqPeJFxbxx2zIE2Tg7jN5kSenjJY6U981U/6BHRqDEpXB0EYT
edV3zKXSRDFWH2J9B35N7C07NQ8C7/1hQnN2dJuuvZpqc7FHxm59U048N7ijWTqDa4vNOztqp7fO
qM2F4cZ4K84MErs8C6RuiGSjoE9EKYRZMY9af9OaLe8Wk9TO98UwbASoQCaiJsH/bwTRa5D3FZFy
JHfEUaSvRtYea0htDG1DI9kzO4j47pfGirAipkTRwCjEzRmAE1x+mq1EnMfQDnZR5oVPRNpnDErS
auP5yZsd2c+hmHFQ9L15n46TebCU/RHb0NkIivghrwlpZ4TFdzudT71TD2sV5ZIISjT+kVY5micI
aaTDXhtdi5StjYoNbtzPQMvw2MDqmcjGjNUxMmIWRIZ5h/Jv1491fMiMAepY2Oj9DDqeqDyv/YDx
0y9XXaeNTUMqxG6wavutU8DH6qTxtt24I+rCfnTdZonWzWV1rHzV3Q5GY79xbgfHtNQ2StGE2coy
YEgSJD/oZpr5EhV5vyTINdOHWgTFmQNpPgqQdSsGFq+y1rhrwsBYaabqa8hUiIDMhBS+ap/wAMDR
w8JyFccQXYpSVJeuDI6Fsj7kZYKuMxJouwJ5Is+ADQgb502UG8F1HOVfojEkpqPttv5gkSdvOg39
gK1uGuaTIQEXfPc4ErybdGKuAvmkOJJhIg92wDyg1rN+qRkNsvyTC24ozKZpXXh8gVAPjsv21yie
hW5NBvOzc4f929tAfxNrQTpot6rdwt77RdJvPXzHfE+88TMNg3GTtxWj/a5a59LPnlwiDA5TmKIu
JVp9cQuODh0Bp0cRwPEYZt85F3aqW9Sqs2JGFhgHRJoe6ib/ky9shqmKYIZNG7kZ0qfAfyy6Uewx
C5dbaTkTQs4Jd37uIBTzwuQwpDXU8nFwD27vujdeKoBbG3H8MXC3UMynfTElXH6VjB8EJ9fGcsKA
UeNUPNpg/NauKRoIEH1uPZCBu/Vw3z/3U+58HBUhG5705ueusjcwQLG0ZY2Ul0E0PernjDsPS97B
AVC3wk1obHh4fiW/1GI1KvOdF0fdEZy/PqrM5sz4Rt1HFkUDtrEWHv/7o/4/Uw2mg1/+9/96+1xy
iqColOmn/sdSXXgUNb+aauh/vJJD/C9e9L2+F7/xNLSCP7GF/1njh7/5nmnhEvW/KXwoWL+POZhl
UKlCUwF9tSw5WFJ8r/HN/xsP7l/KbxdQjI/VjnqFKvznilEoNLumGddHhX08pSOO3Rtb6uYyF+RJ
/unS/ItS/y/VKe/FTA1iGaNgep6f+glFpwuMSVTHd7jlrCCzccCETxNX4Ny289/hSJaf90M17C7c
FgvNFboqHhs/V8OLkbSBm4RWdWG1arPhZMLMC2hrBNdU9RFcBXsMxCNaeevx17/sX2pjFwERWj1w
NaS5geL5sTZuDbMb645zf5Z4PcqiBGBQCBWcJzFjtorm8IlUkr/7lf/FJXa5WjYK0oVjvdw2f67I
+w7xiQ788oidabzNOVA/w98FJxIuAIZ/H/mCYBv6icnbOST+ERG5fKA/Dcky00Ai28mQYzGqr3zm
HkzGiKktAxtYcKS8119f1p/h2jSl7ntvQ/vLxUWs9uMbTp1gyBaN6jDUY0sqkRcBu5hnlvCLkQy6
0TTAeQqIcTz6Uy7uW+VWTxUZzxpLbT4TfuN3/j0mZGtYSeUOmAWbpDvzfB1fcBD+zV3g+n+5D3zG
lJYD4Zq/Jl/2nz5vVYaEj5T9cHB9pGaPBuEs0VUXF6zv4ho0GWJvoU8CIjgZzl3vike+g9P9Qo49
WGbieae0C+xjOUEGj+1OeisiFbmXuoiEnneg1JgmpKko0wKHi9yTyGAsQiWWroVyxRwSMbkhUzSr
kwVkkyWIuBjSB5Q1+NB2iZGF9L1Qp6OUR+Nqlqp2fw+UjffVk/OosLa1VnYlbXe89TglvE1KGkt4
AFxiPONEDcl2kZbklosIC6yINp/IGgCOmgjxhbt0ROAuULCM170TKudurCZ9rswENpTnZpoHsuPA
BVsOAoksgH2GglpjaAZ8Yd7KAKht27wOmQVACYfp8Rv2ZVSqeQ0g1N6aBKeU67DFVrUezWxZSEj3
LZAAzL9RSkoVwTJmVXNvtIZ4dHvS3tI5hcYCFJO6bArHV5TbiIPRWaJEe2cTD47kN2UIQd9ZdHBm
WIlET/g3oOUMKEDeioHr+I4oiaQjHge4sPdz0IZPuoUW7jE7uU9j1iOtrWG7EBwELoR4dshk7yFg
3+7VhHEEazEqFvZT+dh9LjKiHleOyy9rTarp9p2GHrsG5pUnp9CP0vK4ANHLfuVRAw7b3rGS50Tp
8CloOE83qJmACZaTw32iKs95q4lTf03ihi8/srpzSFbfU0PJRfFdpdwZY44g2qFlQae84N3tph5v
B0SUeqM8i0vKt7t5HRmYkhFdA9Oj533Hc+M1PZLrBplY41C7TzFxsulaEEfv198ZexcRZOBsE7Ld
N9SrrK/bKjQv7/+mjyI08bCEODfm5GDwu94lfq82Og7D3fAeMY0kMdh4oF+bQ9dlUXQlaB8a3BV6
QLc/BiEGTIRANro72xxYraNWuvT0fAjpgzIn9R25qIkIJEICo3YF0rfFarmI83DEmUcteh/Afoyn
PDl1Hbbw/WQOmd60MWyU+6apXLL4akr4VZUMfXS25nB6ZYKlP6vJaNWaUMM5vdWTYWmmw+Rc7Tuo
OfvOSiq9mk0sNEYAWqcGA4oQRblc5+6xsaNkO6YYqqIqnHahTSmboJplgoIpJcjsixssvYvSBzrU
kVasHh+9csD1BMaOP7sxXRw390AwJeKlM612Q/PlrXAZCvxbSX+vk5YmsY+U+7F3csSxid1pG+dt
Ol4p31AHJ6hjhhomqtOVWc+XQA7x57bj2PTK1D9VaeJdGrMKoWjPznRmJVmyGB6XDBPQwMjdmrn/
HNJswzU1SAbccHOHJweZQAVXRnUoen0/erKrrq82wnA+YEkgpFG2b5Xw8WXT7TuHVtsc2VDEuOnk
OzNxyoFYJKD+1YpzebznMce9bEHWJl3EiHhKz0Azpw6Tjyv68Gnxq5IsFi/kGVep8f6dvYptSlwa
RzSvhN2S6qRy/TbWLDkz1+PArK38MQNE/5zJmS/WOyU/MjtgnD7A76AJzWQVErCw4TFaMxuCY058
+Kbj14h3MJQD9+QWM/qjuWvEx1Iaxnwkzn4IjnYpZxvWdUPvZ0shUa9atv07pgnX28oqPxVhE521
0cS3sssS8FPho58k7VPRy7epHJfTPxVP9FrkuA1cJ9oxznm3EekprBvr42BE9NEFIPjrJtT+Ax18
7m9SpY+kTeHKtXULDCARPuuVWgaED1rVzThY47CbHeupTIJmU48dq2jSt/TGQafgs/92XMUwKqou
DG6c3wth8+8bnljyg5uQhfh7GOgUrF3bRPVuBvJQYAzLB9Lgutw4s/QYuHQlDoMZDePL5Af1IXWq
4AYvmgngo4fWKjDdricr6l7xP1GLNL0bnG2NoTsXij9rG4KBT8GAcFg4RSzRwnQTu7YsuBjjxGOh
ZHC4MYol7L4gjcJ9Z//l3szDoh24U7rYDBbr1HIrDXHFNiWpxcW2Qs7S1rM407OQn6MsPo3Xk3zY
af40uJdCzsESMCROkAUpmzasoVZJvuB0RzsO8Vc2KXxsK+e8l0oepkRxDiq42LiOWUWemfIY64wk
6mJJVuOpy4x7vCVSgO+Sq2lJ3wMaa8kbv0fCz1PGgf9+BPp0/HLrg3IjSUGb8Dh7XQVg0hrtnPUw
mPTDLvh52Rvd58omJgmGN0oinqwtIQ0Fz8cudTmny3fU1dSioFzcST4VA3tKAjTeP5Z4Z3G1SUYl
ERkL7M2XnPZtAYuQydp42ytq3xLl5lbMRUWigLaQ+iGZhe1xTSQaNDZThvWrhmGS3FjuQj1My4bf
VauFOlZJhqf3TtsUHU8Lj8kLw/QkbvOCCYWpfH8djw6M4LxDspu27vQAP9F99RLBwTpJIzvrRo7p
CnNMtmDhRfyo/ZnhH04z7+zMdtBxLvrioagN89QMifG1l224TwZNACKfmSonNcg/sEbNUy8oJE/y
NuzFoy2XjKh4ic3aSd8BzxWP6XJFWyJDsV4h3lkPTQCvhnlgXz1Ey180Q+z8Rq4gd1zR8Wc0REvX
0FuzSTIbyn7MqkXAYveJCGgkbVwnSssHz06N4QFyEGLmdaqTOAnuGZiQUsKMN5xtloVxO6W7Kcev
KD5kAdUy+X+6d1cscsgZMWskIKaDpRzYT7rpyWFZaW+y9qURUoP4FvDX3JHJxS57tYbqNm35H4NB
XCKnIpsbhqhJe1+TKHXMVWK8jEaYnoyeYa/qEh49U1AeGPqJ1TTidC0G/T4z8TaVGZGK6YdXxBJG
65aFbBxwpIMpHHbCjOHezaJcSeQcx1qhyIr7QtxXBB4wI+WQWGVKkuaWU5H0Xpl/hSuH7FvV0SEk
egMef0s4HN9AjZe5+lpJMpiK6SYcHX3kvqYwGFrzJuwb88YtJ7VRSIW8bioPzFzaLbVx9DCSub3L
eIhusjaBn+M4N47ZO9ejNVR3/LV5LldjceLJVzIUzRHu4htfB6W3jcPieshJ3rC5VDfm1MQfoKIN
jNAs+1ITtV6vybmhgByJz2S5TFLDrV2Keyq/akumrfkVFY17slnSpyRgWiHkw1XlA4AKDkY2f8Eb
wx/EGfgK79hu6WRTDmZRU2gbij0ET+BuNeHe5QRJlvkrzytOw57999BaxtGzp7a57vKCm7RMOG1S
T3JHzkQAo4BHcdXdTrnOUsR2fxs0vnQdP7TGJPfRcADWtgQjiJ/b/llZWcgTj7xvxDsU/dhiLMzw
3Im/btf+0v0Aa10Q0LgUUWXQuP3YrYFp7Ies7ptDUXkcxoPvi8e2k3BBnRFMs0fCQnJ6Pw5//b5/
af15X2SjWKPoTB06xR/fl5a8QHI+NocxKzyi8WBBld1IUof2E84vEjKme+KcOYtRV1Pl/vrd/7Jo
5N1Di66YLzgf4udQtKnLmJ4Irz58Cwea8Qk/Ig0EGOAvlH20evzXbCRtyVJ5W8SwNKv3j/Cfid3f
T+yWkcGvJ3anL7L7Mv00s1te9n1mZ/9Gq+4Rsu4wGPumO/6+l3fZyzNL8i1WyNhNmad9H9kJPHkU
tgGhZCThcdv9c2RnB7+F/DhuheWuEOa/p0xil//TtxdIASBfYs6CwPKBnv802LJayVIK3+khVEZq
kzRiI8ak9cqvCKZyr/ANteohdrvoVJtpMhxVWvV3SWOocp/jN81xUCuQKcD3CJ+KBnIRB0lqUTPG
aISIP70Dy0L5kVcEhISYGebR0GRCi8TewHuJHkercl8Y1L8VghUhP+pRMVF/6PN6vmMW9Fg3Md7w
iu55VXtF1C1JMR2imWy+HpBRVRALAnHfeYQD9k1vvoQ5MmnSgVPrvqp0fuoklquaIHMs77xQe1gh
IPWMF+IhsRkbQtxHs2VAVjPCr50lAVY0tU2gpSpneSQ0CFeYQ2f7ZiuQNbPuQuLHuwwzLBfqHQgv
/eR3/v4pINSOV2uhEGvmcg72bNjDep2Vw3HGjb727YEXdq7uLLA3i7fbK8MyfFbZ3Mbrip7zxS/7
+dprVLh2rRBSoAkusNcdtkGD0NdZBFqvAPZMu442iTSm2h4QjoYSoEeaYs3RHZIEmQVsrckbN16H
wXYfgp6Oe+UNtjhTDYfmXruieJryAmSAigfxIstl7Z2PJj+tKJPxJqAU/TonOlyPdhud8mRMPhus
Ny4NKsv9++frlk/FnS0BQvHfo0W5yBMNj9fa9/xK70w5VHu6fwXzpZnZ+HKRu2DqtwSlDcnK71OL
RZOAQrsa+jzXZ7CrSUIIksjnAzpYae8Sl8ypvT0vC8IMmRegujo/zQ4TZumw14L/xnIjja2XBrie
txPNFIBsyR0UIH3JvQAz6JQNXbfh3aHldJ2bkusJBhEvWvEkCSN7SBo5vVCNducAWM5jBl19B0hC
ehtWx/apIhjpKmqd5DmbwLUVNHlXiExSQqMzOAB5z75dQUVaZzOKaHe2umpPzIWzwojU6xXgPW/h
f82vc6WnfeB04b4oLPur9gCRrSNZljWlON0mnUGW5jvqgj655EXNzwqHotl5NaAaCxfhe+GgZO0T
Pxzn3X1UhtN1Out8bbP02cy9GV2XNN2wFGMd7OlqxU4Wif1EIGW+LwOAuascO0+xGfu0DPa5MLuH
vnZe3L4AKeKazyjYJoKPVbu43mDtEDlEKFEZR3O/7oTn7dJghnHn484dTBx8WGGYtqVDIBmaFvVt
581EaBu2t9PTVN66qSNOtFC08OCMtiUD7oVk1G8tolRPibNU9TkOzrUuXPsD3k9kHeUEHYgMPb6o
I4pEh0fcmtYz5abSUb6rekUXX/fQZ0zitNeD7gz4PXZ3zcgvu8HmkF8hnXZv6R9hVCWqX0C+HROd
mIizbBVQAJ8L8L3DRo+m/6JmI72OhIg/TTLLMLEQQTfxp5+bMN9UALs1CJoaAhStlletTV7zNpMc
yPYyoxU4xHXZPrQhcJetViLZDomCrmjk1fxhdCcT+XSbXBh/ytNsNjWpau60p1MmLN2ecJXhpG9M
Y1sRrdesVNEDrCCKCKhSBZJFc1CI1VBok+mZN13pCG1jQjbWc8jvb0P6Rcl3bMra7zbeHMvTEEEx
NCZvYQRrduercgEXr0za2jVkzRqwdtXItSys5NHzMbGii6GZZtyaXak+y6c15Tf1e2aB27K9plvL
UI37xIyrtZ5Ksn7NlpD3yTrWbO8v9TQYj3kOtmM1WMm8C/WYQa+pir5Zw0OQSCpx3frYEtnocphb
Htr0TecN0ev7ydLmffQ1HEuGGTXfUIIRBXyt5VvUeBxarFb4huqSsZ1hcqyqBQCDc40njKy9aj/G
HM9o1C2Hr4O27oW7vBFex3FTWR2fpFD5fK1NUvEwohlhdUGoPl2A7tTTpq5nsveGar6WgXC/hcz8
p1z623IJ8eEvyyVmE8k/1m+yLtKfEAdUO7z0e8nk/sZU2vNZCC2yRUJZ/yllDIAV0GXgAQTeC1vA
plj/o2ayvd94+LCwcgPcULyMV31Xc9u/8U9JbIVBzJ48hJnwk3r7V2pu5H0/10wC7yieLkjHAekR
/qL2/tOiyl9cuLLA5AOqehmlhHkChbyLGWJaSuJI6VVj1pBu/QSeGLwT58ghRjy0N3PTrS0Nw2PH
oV/m29qt4xazUC3g6zXs18yVyYz1c5ky18I55hwbvNoXNA3OsXdgAEErQAcEN8ymFBP0W5oIdw7S
gpIFjxljpCRC272M6htzpj8BrrkM1isRnEWCGOPbWidc6Kd1FXveaqiRTe+twk/kljnc8pJ3PnyO
i+fWapmOUjnwxpqziia8C8b7GDzaU5mK8V5CpDlGeclcw25GH2q7VeX1qSYyMQAR43efu8AkL7Va
tjGkvhlrUQHfWTcOlv4JMNwA5vO/2DuT5biNbV2/yo07hwOJRDu4kypUS1axFUVpgqAoE33f4+nv
l0Urjk3L8tnzrQhLCotkVQGJzLX+9TeqbawwWgWPMkJiLYQUj9S+IFMGHvJlqfV7OUTy0zICiBWS
uUArdZA4nEvEOTRUjm3lhMHTe6gkyZoV+mcQTyTfKOy/J03MFXgPSkTf+gWW0gWUa/iyS+uYA8y/
zKFCePqQN2CJkXc74lR3q8sQVWwQMRbqpY0yCRI8n9pUcRxuKklKSHQ+u3eB1/pRl2fbxDCtIHLt
LFMAKRe/+1UzxhjvBfFwkCVpAYTJ8j3vIVt4IyngkKRI22ddc4Xfb2imh+BrYUwAhdGrO3wB2Lil
bftsk8kzAXUFTGkmvP9zX2+xSrpjIMhHKOeEn1IB3OCa2GYg01jec8lHgvEwxro474/EdFqI3omL
3cHntnB1VJyez5y82Mdn+UKxAAf8LQpUPKY+FEzWs/G+W1prOxcRhpl4R2PFzE575wwm9Q7Octq6
ErnxWIDnfLlA56WVs9BTDPOCLYgJP2kJDH6nb+a9RWoRoUsjUhdWCuTNbmA1GE3LnfVkR97uBVEn
wKU3T8QSgmdUYcvi0wygwmAwePTIH+i+OziRhhtdheBGY81D6HgTN7hkXk+ugBeCc6ZJBRxZYNsE
L8HjzNowmWS9CR7L67Ki6d/jWi0PWoKUHLG35H3HSw+0l6cB4wPOQAIfx5wVE4ielAZAp5BKVuPe
DWqdMPhjsKgwUFdiiZRbPSNF0fLDulqPAXgxL3EYk+3mYfA2l5kCzlPB02UJXyDHOW3hB6mHXYmw
vwQ2U4hR9lySUeW5XBJx8oVBrRmhNdyqHL6nd1i6w2lfrqvMVfNENYd9B0gujwQlJDh1rODJC2RU
62wcJLnX7wkytVVhxm/3tng0xzJ40hImsauKmQIVdx3m64xkYpx0S/JdFliamMxZ4wAPMufj6OQ+
vKf31pd5H9RvFpgmecjbFPtRvA5N8XhBymdSL4wVY21JwiPR6mOZeddLjX3hqrvE2ZVY+oKjai5D
2t5pI3mbXJJFtAbvD074xfN1QnH2ttXohN0o5L6eNOYUESKaqUxZP3JC8Lld2rmPNnje8oRR2vCG
QH2n+9zAy+F+bif8ZhJCxOK5prPAz+E+9die3SIl9DUXGT8HQyTzkKaUE0lHtqoOCfqxs6qeKwiM
fV+x0DENj9L6S6oH9d6DRrkLush4vFBR7DQjD9aNmAk9tMTomMCPbJFy4QNPacqK0jyDG5UZzI8D
HcOrY1g64MayyIkURnaI5Zm+xLveNECZhxFsPYtV9FJM0NtGkMwlIUWaLHDCYbitTUsYtE4gISPr
QgCJ9eRUJNY8Ys7RYCKrVJWsF9HCpLjEMY505PYqx2LjHKvQ3RxGSwMtsyKsdfAUtIZnYjnjFaMg
RAN62PcwxZkijixWt8dL4CrDJCW2RHJlVn2z74VSEF/WvGkg61/rHZ8Zz0S1/nvHFuc+HgjSoXXn
c+rqGBlGUXc44FjElOhxy/4GbO769CtqPXozCRlV7XpPmly4ke9bGknb4J9A5CwlK2DSeEjctsYe
AzZ0s6no5W9Nm6cry1LYh/3I5ZXAdJcnLh9c82ksukmsp9pqou1lZyU3kuHGGLn1k4gxznsaQyJZ
P1uXKOnMVLuUGMZ4Z0ad9eJhU7NJ+jq/E1FvMHgpvhfR5B2aqlKHQa2rwzkI2YE95gjncbHYyNA8
8gS7tMBiNUVRIRh7zNG8Z/uR+eiLEO+xaBXitimI3F68q5xJZ4Q5csAQr4EanN0tCXJWPaZbX2O8
GT5xlJL909ErHUk74KlJFX2AMB+UX1iPxoyKRwO5Me4P9veyyJ/KUDRHZF69Pq5mnAuoQ2TzCFJ4
KD11EGFLnT2i2K1wL+7dWySpesCzO8htU9PO1EJ0Z4g05RXeWSFO/WH0KXZqBtoED32tO2OjGWWN
9siz1k3nrHUn4RlY9bnItXHfdfOhjfoKc2sPNqfKIy/Xntd9LlA7VxCKtxrgyW1lDqskx5HbQFH/
eWZYpnFOlDkSWNx5cnZVfIwgDtGbMaA3/AoClm/YxoIPOUyXcGXXZrKuSiPfC1GHEQ4SFV7bZiq3
aWEMHlb2y1bv8a2zCGPAbNcZZ3TzBfPu7Wzj07n3WJbNOsSDbeLyR95VJ83lxp0659gmHsdcPKFI
n7SKxmoUn0wxlCcNJ4ubeEndo2MErF7BgMCOXDyC3KSilaom2Cip019hdYoilwmBXLWaNb1kZpl8
mp38E7kudXadEdl7V6c4q2tdO7prE1kekw85vLWQLL5FLn1sO3r40rLINjVG075Lo4qJdIKifKgH
f546PIndCm8Z00S9jsIvOblNlMwnrpf9PencYrv0KPfnLNaJqx8/eSpAIo2dZucE49cBGaAVJ863
sJ7m+8iaGbdjM7uVqQOc11nNXatzWUkbsDfWlE+vSU+aO6kP2Ly07cmNo+UuX2ZrXTp9viWf2dwF
3gCr34vNTVi3j7XXo4FobCqjTZvX5YlcHrYo7FzX1hhVm5C64djnjTjCAdP2lle2h9TrzetSkoPB
RSuAI2oaQxs0aKprd6Nhf8w01tZQ3eTpLZYKKBLco7ak4oZDYKbkw8iQaCb7kOE9fBfirioLWewN
rW12rjoh5IwR/xTiWW+l3DB8/bUvLdIeHwathwORddfHuO0Tmazfp+Bq1+WcdZ+wwdKu57zCkEVz
Hb5vpHb91g0ZJPcArdwR9kKNnWhXPieU72ounJMnneQQBoyGiQ+e2tpZt2vyPYCB/dQ1t72DSy4J
5TlGP47zoqU5YzcFkQgcqenMm3arESZBfokz4ruzdP1OD9JobUGpWrP5h/6C+ISoiqg7DIX1vSJg
aGN0QrEI9EztVuIw49T0EjR4C/ooMKdnosM3VNcNlWCsF/6c6ummQ4fzGNTsKOz8Tb5BAQGiERsO
ekIcyjCIn/3WgJBtjXiCX2NagdCgkn3i9WwkTCZqv7P0e1y5M7EJrayZqcVxLE3u40AgWhdJrrzD
lnYIv7P5h9sogXayuKLCP2vApziMAkQ9JZYRu86ONDamJrb3btqPTxqkZZdjj4BGYCcR+U3V0YFE
9caxm/IUtzwXMT5ZT7gqZ4fFhhjjwXbaLku3gM0oOkbiYOyCsvTTGE4uS5y0LlM7xshzBjw7e3Kt
XwmtCa9hOJ2Bj9rPKtDgCnejk50WjJSpBh7y3gBbHFu7WWHXHeBlUTOP/dzaVa8f8hTM76jVYjEI
QpCJh/GF7OsRKplG5YSHr0TA2Xkj1SzqpBUqjtL9EtQZm3qQJGM1s33POoQZC2MiiOxJUi7W2sjI
D1mFraaPAOvYzckvOE5x6qrUEBuPcVeiSB0DK7+qmS7XWzQMDLN1K4crNjQGrAirpwaNLjmxxdhS
iNiDydkUM22fj7piks7GKB4Zf2frvB4py5FZ/DFL+kcp9MdhmicA18mSpIE2HNroD1RWlEGMKLs4
2QclrEQ/L8HaPy/m0rfP5gz1EgNxj2qkhC8FvDqmHL5/ghx+QhxWwUd/GVfyDly0jvzhuJJ38WGc
N0a2KBejC/fWBJ0S5lTLiLr3RGCchdZGIcVmUO1iGUchKTHBUoBHtcE5LDrx6Oq9OKMcoqr89bv6
yWVhEARxmrIdAdxHrm0h+wCY0Qz3hUbpV0+c/hC7CC2hIiMlHKycyqfPF4ojbQirfyPCqtHpn0e4
XAxe3lb/UYIjmP8roFHMTtoXA1poaybeF9ZdPSM2aGs3T7gh0WyRnCBHVz6mTqAdhCq/CzMzwQ3h
ahg3pj0Dtq10gr+ifac66KoOi+Ttwn4cC7w0/uVy/eQmwo4VTJ0ZgkHM+3i9Bi+MNYlWh5iGgQEN
5La+VZxcdFENVEyi/KocF7mprV9Qss/3dQdWUUf08nE5Nfc54u9f30DxQeHPeoKjLU2pKPDET13e
8Z8wIc2qtaWnbmD6wvBpdSFtdkBSTy0QDz7sF27OaBCbC79XHqqB/qIYYZXuRMORvG7bSvVgXNlf
vzH5szem/D1t2wVC/9sA2YHn2ORNHe0rG9sxSk16r37ljcjgJ6oi2RYPWDu65mEuFf1lIo8+PQ6m
Mdz35uC1qwsjFE8uumWkmfTPoqONveSsh+ZC+R6HUFOzoFQ1vMJ6IGbyZGv47VKaQhDCTRlg8Pt7
U4pUabrvF4UCFHNFsGmgmKNMwKZbVce9xCr0rlhasGNCiSs6oF9fDuNv804BT4FkZ5L2gBD/Fhwf
Ca2OZ6iLOxlZ7IFGucDYdHvV6hQT7/5CbYW8PWgPhaFofVMe8bbmuF8eJs/maoVSBQFbi4YtPTJ+
tlfT4PcJP8yQNCZaSmmoofyIcTYuYSOsxn0ZgoCtsY0Zwk04EPK8zIpJT6gh4A2uqLA7XBqC75cP
+18k+t+QaNP6tdTmpvmdluovQ/v3b/kDgVZOuiwOEuUMhPG2VMfUDxsxw/xNaU9cpMqeCy8DwsaP
qb39Gx0HARu4ff0Y6P8Q2ojfPELTGeW7bO+mrXv/CQItjQ8bNqRWxbexDA4MbHZ148OGnbb9ko69
F98mqUeNgWezPtWMk1L7xgsq07wz7bppd4hhiwZFqAcmvhqH2F6nAXa007kGkAc9w4hzBa0y7eR9
9O5MYbHwU31tAx0oODrdhwupFbddVuvfc71ingIpHxPedSMiFw1gL0q6gjIyUnfYlZ7JnC+qk2Oe
FOJNQp9E2ckx8k1TxJgJK56jk5r1qixDHqwOfTM2j8EuXMrFl16m3wCQlMO6kHbfr2rgm3S1ZBXT
7UWa2idH1765uJjAUqSTYFrrYDY6xAdiBxKwFTM+OJB9v450JhtTB9RbNYUd3TeOm+KfWE7zLRrr
wMNYdsybjaz4xCu3Xzp302LgRORpFF3VTBnDIQ7XDJXsb/E4dJ9aBHbJ2SKpzQdJd27iRodFN+Nz
G6NKpOPpoN5CwfYmj0gNHTwLO7IOujJ3Yn4O5pJcH+TSPWy5IHwgfDzwVm1JYuZ65u0fYjuIrpZx
ohyPY2HtbHPSD2Ehh41HzhpDRypmsXWohWmI8Uv+PDcTfSrGkO3adYb8qLUFwwbNwrKS4JPFvXHT
0emJ7DFZEskS4+PmEG6x+InVts3FEf1LhyEpcuGGlbU20iGffII8Jz+mrty0Ols9ps3Rm9Nk0GjD
ON23sdlvx1DavqWGp30ZOXf1YoJRFFEa+sbclXepnTdHXEFRbOa1uNMsb9wUQw5V1HSIHmgay/4+
YgntTzw0Z8hkeL1Hc5lHmCrOniu2daFV17ih0rPqRa871RH15OhWa89inuFuVOtAfs8Q4XhlpnVU
Hhbc1s2VLgEvilXkQnoDdmihvAZpQdsC3OK6WLAIkmL8fOHq3fUtOW+rRQzOA7zTGKxYI6HxCUau
gw6/xH92jjzMKciAAPIn3UtNV42wxXGtDBpYvFUYfc9rZ67Y/J3UWWXunGvXA65fLbDcVJ5bjQS3
oeiiKzsoxhcjj+yKlLux38wQXefDFM5wKNvSKBoY07YekSWYGSX4g0lkUCfmDi9lVODdXm9yZ1uE
cUx4LEqvdVQPjKJLXL94sgOX1ltWM8EDuOBA5q4CaorrBRPA2jfIhlmXEXfTrwZlzqwXWrOsEq3w
wluEDDGzXXpS5zQt+XjOWkvfNcAUfhTKEG89YWoQGhz0V5nmxGetLLMBv5kgi2hKdJuyPXPHZwN7
vl3nTTW6cr2FMd8lyx1N/qu2eAXPFL7bOAvhz2mdu1K2y7aro7zbhv1cPk+Bkli7dOmPy+Ia5c4M
qqYg506RplUuYLdnJ5ofcFWYyoNh2RzPMcQJe5fpkTFiagBYL8uqecMJ9JPVQ7aVsdUuD0NqDNV+
TCPBKD+YJ9+tNHEl21Y/LXgY35nUXAWpEV6Sb5KQ3czqIWKmc53slkm6R8Kw5hR7T22aricxIkOj
QCKHGtr5znWDdpOJMECAwL0qt2G1JL6xmPJOwwsN04Y+ynzbS4wrJtTeRroJBbwWK4jdjCbxiEdd
zJAnM7jPqRkm35raSV5gfGifZJMNX1p9GppNU5omz5o5DbAMFgkqbWvdoQlDhi702e0Gh+WwueIL
TNppTYGPTFOrGQzMpUE4miBMBto1iC6VvkqI+gLigGazNlobobxlNyGylaEa9kTKyXIT4D6ImJlh
DXOWsqh6vIAxDXwkMVs+MQT6TAeAOfc70u8VurG33dG5s8mn9MMODKczImwmPGBDJiLAgcj8g5CI
Dyq9ImjNc5YbSOPyBunkaWzK8kQ7Ti6dW5fyue6m53CaAOg6O6b8FHGQUVENegdtHIvj/oRBlDgv
s2jvIdkSDISp7hTeiQnuOOCaSUrkvM+l0zlAniYuBMERMG10z6abiu1/66n/lT8Rg27ain8mQt7+
XhTKFf2liF/+UlW9f+OPub6JoxATcxTKjqIbuoz8/6iqXP03SzA6gNpoYN8DGfJ/qiqDqgoBqk6p
I/AQsii4fsz1ET0LxRQQzP2Z0SHg/A/m+u9M5T+3wa6jSJqO0A3ToQT8qAfNcnapvNJn9JVFOvvU
Nixxi9jrsxFMpaemSkKu8zzGlmvs7NpbAVU2BzRQQt8uNQ4d6yjTSaWq2y6z/AhZh7aCwtT7jfda
DV1wMyomTz4L3TdjUPsVWbZQfXKtbcGHZtNfiDqtGKGhEdo4ywzWbBDSbmwAuZadJozyiXkYp6zi
FdHh6Gg+luVTYKhQV5MJ/qa5kJE4u+oH5sdQlPQLXUlcmEsXElN6ITSVF3ITRVIK0XwKfFI99zGh
eL9DiAxfR8WLmvieZ2suk97HydO8ji4UKtiX0KlozDGjJGsPAFHxrUBSsqtBcbDiMupOg+JlCcXQ
CvQAslapeFtUeimWJ2EyrC3F65oUw0tTXC+Sv5BfIGmC5qO4YG7DZcYUA/QTapF+LGxsNArFHzMU
k8zwuPKmYpeNi5ffdopx1inuma5YaInioxG+CDUNd9HiCMWEs1ox19IxcrYGiEK3btz8VDgi1Dd4
10F3a3DPSdYFowdYud11Dy2utcLuQWAXAY+zIeecQzUJYdcrNl3R9PJpylJji9bU3TE6S6DdLUFw
AhzCL0fqZBWW0Issa2jvMcN0k4194f8rJQAnY7Exc3HvDLfKiM5vR7PeUfjcmj0uEao2kAqL6r8I
pTNgiDfdDG1irT2ECFrrdmvrok2IUClIpVcASQuQDyXFnaXUDFhOfEZDaftggKkPIWwmhxT1w6x0
ELZm5fsRaYReio4k3CS5D5RuolcKikBpKUKb0K5EuhsCABE693rpBxf9haekGIkXWFs8PNM3IIRX
EXjalvMKBUfUIeZgkaM9UwKPVkk9GHriSo5VFbbwhunbhXVXstrWAo0INjLRKndr20fO+bxAeFkt
Sk4SKWEJCcS8y5ZCKeyRnYge4VqmpCi0WOGhUvIUK6uq0wzwQXpoC2CPLmPTcCyss4u0ZahZNxe9
y6SkL9WMJ1GP/M9PLsqYiqDIDdwvQE8lnBnC2EREY5v5jKTGDbIp3uJ3NSK2scRiIr1J3oU447ss
Z9ZQzD4YiLnGB4tjFfGOxfxGPAkSGJKNbiXxld3ozh3TvSD6PJkLopZeJJncFp6S5RJpOfP6Q3zG
Hcz47KGV1VcZclcimQMJEwf5sGY942BTJIexVFyHrFyQOE8Mh81i1wDbDw9DHJsjXOm4R/8UhhqK
zxQpZPIlTbuGfOoFh0EsHSOrNdZzRWKTP7TGxM7Wx2H4JRdxqKL1BGVwqpU58pSxhLU4wUekqRPx
pLRG4+xgcZwUFOAoero03M+da37py2LsXp3UE6mNhhKyKhm8fVce465A3r0qArpK/rCD9JCgSNIo
0HWUr49F2tvUmDVN79roGiPgwcIA+r8n9f/qpHYI8PnVSX0fld9//z+HNnspAJPebdkP3//f/8U2
RH3jj5Na/IZRKkQ7yclrvDsG/hAt4EGClkEHG1GuEH/SLOCmagjAdYUzmu8GhP+DfgD7X4h3SuXw
H5zRzFM+QNUAL0iwTcl74H3Jj8hvjZasyckVJLWCMIhkjsoHsti6mJGrx7TKsJ7HfBhOeKMzcOur
5yy0tIM+Omej7DN25SVK/ao1c3QJeXGb9foTAjyycBnmJexkGJUsvUamGWM3hG6aswXEG+FROecK
RunKmMRtgjjwxZP5CfPMk9RG2B9V4HcAz5AOEBBnAyU0XNq3Xu/jc851XNdOhRqzKGsSDMkKmywD
hai+XJWefmuLVjKnGl9UxYyxZrOZTSxR0Xm+tVnC+UxPtmGweXbktBvBEKFBFW9eWpxGMdwHkxVx
GBJsbqQnskluzWS+0kO+CiAaykH8QhVR+mW9vFodXNtBvJaO/VzP7bbMGC00xLB+huC+J5megQtB
45uyVZbz5CaLTj6nQ/biMEra6uF4rzfpSV2BjlPQx1DoDVoVZB9iarYyI8QQSgOj59CJ4HcMj6Ec
791iYjqF1eOhybxXKgBvJyJzD83iKsXn6rBkYN/a2HJhdJ3swPhoKHLFlE6PdjTfj5X5HMn0GE7Z
S1MncJCtM2pgAArbbDcmH2g04zdicW9NWtXtLDsScCvGsqbSCfS403VRviIWiRl2yYUi9hE9nNWQ
54ohxiZOVSaoNpRMetiPQ01dyyh/6QUKXn1mvNyxI+Ll0ELZ4gu0erkdW/22M3DWjpYr4UKR0gb9
qnJKbT2k0ZvM+DJLxKc0na6oGq29WwJEJTGfsDTnJwzw8dLq7Aw7Pqn5acsLDbGbUCyay3VjJcdy
Xp4asw7YtafHXLf8aS7GdRE1WI+V8UuBQcOGsHN8zJerwQhjNvAmxjjWeY4n/ZtbyxsPm7q1PYrt
TLzlYkHQqafhcamtPTzIjoUq92HOPUIzka3TDoevvl+u4HhFmxHn8bUnhcQggpUwLV0HDpdLKGH6
UxGKV0+O8B+If0d5lh2FMzzWTf9oTtlbDm6zJqOGTKp8epSBiDC566ot2AbcMVuL1gLrjvXluovC
PgOXPpd1kWwZXqArMZ1tp76Pzwkz0GEpSvsZcsK8hyEJaUogPjG06isO+94aT8PZb7RguJNwIf1s
CoP1XBNFPnvdsAedGY51aQ2HNrfdwzRoeH/hiUJwZpXfADLNWyxDhiNIZbs2tEy+dqL9Og+NfS1c
RkismjKuTb9BJ534HjIQ30mX8SVwSjzRwsrIEESbdfGUFsFTPiED9ReEHUrWCcgZBWezSL9COBjW
mAZspojjbpGxX3Vzs6nNKUIHi9aQdAUIa0e37NABOfU506LboiTsBETjqdTwIoSKYmHobr1gc0Jm
e4HLTAEst8nsGs965EPV4tnbPM6Jqp/L4FZ0ZICFBct/SYzXEitSRng5INsAoDsZYisdsA/ehTJj
YBnWAX3IBA8IEazT7yaDRTenzrOj2efeqMdDMDRv2thcmXZ6/NOh85Mp7Af82lSaRnpAWja6N8v5
qGqM8UPGHYOsZBO4ecV8vFPg2Tm2amAaYf/LuPAjX1u9mseBJjFrReL2UaGK6Lkv7NlBr8Gj7mOh
dzQyCZdFsqH/+nN9nOPySnSoKMgZSzI6uJxef5oCjo4zyQShxt7o0hdP+TKq7TgR47wmRb0tD/xN
f0cl/nGkTv/7l+Ht5TUR7zGUQMXHn/z7n14zlIUXuTjiU5dZ0cZqh0esEbK1JolU16xMWQYeYQFf
NS27268/7t+Gi5fX9pQ7FY04vkQfxvmMucYlmd1i3+YNIbDo7G7nAEUX28UVaE26173pdWwJek5H
oveSoeW59dACNtH8GoGzhsVy1YfMQhdp7T1Y6WviIjZkgpI5zfbNvLpaE/pOnm5yKuwGkuFwP+Xh
k25FDM4m80wmr7aeytLbWVZZfQmxlVqjgZ39X3/SnywhidrSYH4qdMv4OHAxstjD78Ms9pFByHmp
3+recotCsP6XK6riG/92N02B4y6iTIY8H43NvFEw4nDVWvWg/NNK3c4CBpUOOEEx7SU+o9FTF4r8
LhvmW6fT87tIEerNJXyrB/ZlVaog5knhNk9XoUYCmjf2j5pnn2Uz7CKX7d7CiYIJAvFI9WSAv1nG
vMtDo1JeMmQ36U17X6TT09Rw7PdGbB672M3xou8gHxfxWxBb9qpIM+7i5JY7YobfgnJ5clH5Lx2d
xlTJPZyBPXTHeB3my0UacJU6DEyNfrl15lpC9Odn4+TztbEQHjmCGuvXN+wnOwyTeOWQjEecwYzs
r0/F4mgl2bOQvZYRyiflxMTOhpk82tBR7n/9WhTKf7tnFsnL3C3Hgcqt/v1PT2BjzDHUrLmARDbc
4+d6zJEp/stL/GRngShrmKb6/e9eZTjkpF2m68W+9IYK+SchyijAXtVOHy9y3nUNOk3D3HuacR4D
L9qgxDpqU/C5TZJvhL3jfJwP5MRnidyTYsEh67E7VXN+AvB5W+yRaK2ASU8mbQYFloTAidbgOovt
zeBWn1wAlpXduuHBnGPcOOEXrxDrYxfs1dXWaAxC3b3a2GHd3610I36zCpZgHaenYUrxcGasgGKS
AlXQwlp4Oxf04mtg3vuyMKKNKZd3FdY/7ormT55Y7gUDfrzVdRNB0V9vigrEmco5L/Yio1EYojxe
xyT+rAyodScRcQViyi0/m91zbuG0EbQNmYYiv2GM8eQyQNoA0zD0CpYRbFqUQGT685hU0nd1emrC
/M4B3Gbila1zBDLoWw07UQW9wneS+Uk3xtel1VexEz/AqaCqqvnAjTbt0kh/minEiCWOqp3Mxh12
sPehZferpGF9QqlWnNwBh2eNjIU8yLydYS1PXtUMp1+vqp88JJwZ6hf4Kd3bh2s0hjXeL+NQ7Ee4
cJQ4EEJG3o4JwhdU4b/cEazJ//6cuJzCbGvohdy/PZO1KWdgoJ5IcWSyG2G3xJ4HyTHgpPIE92cp
WZLLTINE9k+3ShIqwDCDeUcBSFy6vSoLTLnjfKiZjRJQgM9PB43EJYVYXGuDe5N5OTQgT3mRFaX0
ZdW+5slyP2WAro46jFlmoUxfglFVqchqk0U/1T2mxFNprClXNwgh3W3HLb20l0w4pR9bfKGnPJi0
ju+oxmFbBX1H6nMXHSa0H5cmKCim0h+RrR8LmOdxRyPpgvxigkurZy3jY9OF8DZN0hXl8Gik4hYZ
AX4gVGuCyRu8l9lXf9Fy/g9ehyzIqid3yWzajXqM2skiv2F8tBm54DeTajxP2K1lNdUSWtgTBoau
71R8dQNuVCcWj1gX1NeeNb3iGumPcBsZWcanmIQc3OMoxWFwPSfRgMrEtBERW3vkZ0cMoY8LcSSQ
CXiAuy470hTv8oCTJQ4HFiZPhz12p0xYXyOCio6psM4DaaHSaOa1aowmZa01YmR85VLZo2p9NlCN
/st5bP/k8abWwT8BYw5WlP6h8siwdKrhiuf71plfCZK6b3XOvYE2K7B4rFX9dWm1S6WD7jwqvcsz
X0Tddh7bcUX+2msBoOVjMp1svNTz3aGRDq5HIaIHwy023tTP+0y0Gg1amter0Iw3OAiHr+jNvBP8
4IgUc87FbsEFqmDOsF4cJgUae0zSzU+DpNzSG1mtbT3u11NIPlfmUlmHNIYERUWy5IagGWSYSUgn
cqZVY0BndWlJUX6fhr6/Ny1cXsrMnjZxg/N8PS5X2G2hR0MWmwsNAlE5v9rtUm0bmLAO3cE+je3z
wCFCk9k/SqwYVTXfOT/O1/9yi/6FWwQ7UlBL/PMs7KHs/0Hl+se3/sDY3N8sfhS4G2ndzMlY4D+G
YfI32D0UFBQwiF/Vv/zQuFq/GVD4cFUnS8M0LIdV/2MWBvzGWWfxSGCjaijLkP8AZ8NM5MNejbpV
t3S4Slha0+9/7GR63CSKJolLAi4cMW48kg9AIYoYsywCvrZ2wUa+JmTNvfNiCR/WiIv4DDpe+gOB
gK7f4L7FQo3lZ7uN5ltcDIqHobWDr9j54mq2SKwYHTQy+6pR/FACIayrWLVnWIXAGxgn6CR+R0wN
DERJtsg1dT7GCKDiPEamJQkkq7N6U3txuKyIQaXKA1iGw7IMSfHW5j06HMebzW2qteZNJBIsbKPA
XGsleMBGrzV5hB9Q5CtuQUGSkYyM6DBMLUL8crZPBib/FdsZNIM+l5JJkysP7Jp6sZmyeviiM3L2
sIgIut95FYERmFngQB70pAGv3KpGSO/Y2fwuYZwCWpd1Sv1MAhDjsn2sU7hu0DXkbzE3fI8LHYao
hYVmTixx8H2xLXbgFGXF52qBYL8mG6j9bFZW+7kY9fTeS3U8VjFrvRn7oHisWre86XA6ma+megot
34ShDiMpYjLCcC0TAZyOmgHDElXu3ZTyvmoOD/YpEQT5Cv5MMNGoTs7dEi/VVxG67m2QUcms2Mt1
4Qce0kUYQmO5ddwcC5bFOUxVXt2kovZuLVJrouvE9Kx9y/XbDmXtXTPfqHdLFCmFgEeC28XsjjzX
8gF5jnun0UfQpZCZ7M2uRVYKZxJnDIq4MkVUOHN3NELGD1PvlDdpU8PGXJjNbGwnERAcmEtBmO9N
zmbDavcEQHV8ZhK0ZRHX38guqr80yJo/M8uFCOMBfdlrCxOb70LLScLrIlw5GGx4dxN0HpLWTe+B
Myq8mxBlh2z8DRiTRSIAAF4LMxNCAxqQSBtfXLQ+uBUK77qqpBNu+1mH/TIlRbwPnLpbDhie0EzF
Qa9dG+gZRsSbTo7mDbEB8hIGpN0hspgarcKx6u+JJLPS60hOCKBcTciVABn6VDAJPkXvVH9YXPD+
SXxWIgD7oggIyStAHqD9IRa4KAfmi4oAfzT0lxdtAcEB6AzSi+YA7rcSILiO627D5iJMwNRR647d
RbGQXdQLRtWiW7D41awKJXBwglB7mEey5I00ODl5PlzFShARoYwIlEQiu6glknfphPEupAhz3SFt
XAksLKnHaGjRYOhKfhEoIYauJBmd1LMDWcjjU9wZsa95UXlCcFpvWs6wRMk6YuIU7ZWTGMJdpayh
J2anob3n8dYeCyUMKZsGjUgPY7Za60o6EisRia3kJNRoLcqSgvewn/UYxcnQG70/d9N0peHqeiBy
2vJnr7gvF/e6S9rgkAyiXXtuOR3HOOk3DklXQMvQxOoSwF0zte/Wwk6TBeRYBstucgVhxrGB/R0R
YWf0qQ/ooklDCccdVjvWk2iUKU4PhXGZ+/IG58J7ISXj6IZWWGupG0KzVrrhgPEarOwtGoQ1893i
Si+q9vdkds76Yvx/9s5sN24s27b/ct8psN/kw7kP0Ushq7PstPxCyJbNvu/59XdshjJTCqvsdAq4
EA4qCqisSltikNzN2mutOaZ3V1ZxvxsgP77PoLZdRl1eLyH+T1T66+5Kaz1jU8qu6z4Mxq1pTxdh
6YzbxKS+HQR1shm1GNGhwk9p5AOAplZ5gdZouss9Qao0EZdTUb1r+thbFnpAthJl/bb06BiNbEV9
V1Vef2nXiUPrT/7FZbXd0m7nrENv9DZ0dFMv96x6mWvYEE05wUzSdYp0p9f2Y4K4rhX+5zzU65Wv
cfKJBYoyHGlzApO8+gMzk36npn7zgXxPw8Dola1fDd/byk62I7K1dVMhRuk03ftsxBYOb4OEIdiR
mYKg5pRx2tqcFnZGalr7DOX+BvAnddXCR6laQOo7czzyDYOiiOu2CNxtOLE1RSl01sYyU0aFPYmL
sS4xtUS7EEZrpwybG5pVvY9uCarVsFIPK/A2wPjGKb9keZxzNsGm7lOBIGujtRymvVB3NinC2m0+
dcVdgVfcH27lK+umA/OQ99l0kdHcth/LHmYcwNdrgz94V9uDcslR+qOg2Vxdai5KSL+e7AuKoRoG
80MTa2fWEPnnbpw6LjkyBA1JE7ZiGetEjXBIw2ll9jhoWiAyl52uGRcGjjS0kwQDXYU0Nm4FHYJb
UYj4TKn8BKWUT0et0iofm0Kt/2DEZeUqbPtirxrVje1F+TXJfvXCiLDBc/B6sduEYWDCcRr0ejnI
oo2Odg0CpKnQWSeibwZVtG8I9sjDodpFqtx4vcU+aCO0J01iLKOxxNGUNrEPOV6bN4Eb4yrvtP66
cEsg/Z7+WXHb72GY+Z/oCsLcY8RHrzatD5lpKcgDa+A0RgzBF64TU6n0PviVuSXB+tmz26+OXlrb
KTcboAJAp+gB/TR2o7tqklxfCVHdlykOKp2hnoKvimkN0ItvPk7esAAUMJJIs3Yd2Md8qU+jSYHC
065goVfruO7j60yzLzK/yc5J8bXrtNHhPev0BTfLPqj6Yl1r6XThj423LtL6oY2CW8oQhFLEF2Rj
gPcYHSI3JO0rqot4kblycQUJJYOZ0lk2nOoWA7vcOsi88F6P41tFt6mf9aX6OdAFgoHQEd8qrbpp
O+07xkYLpwrR+SniLkNSvCotKLBDrIozd/QmrJNak54c/IF8zgLU4s9w6fVYO4ti3eGFtHL8zthF
w5ieGl2BlSxghMjWPoT9GJ8njPkF9rfaRqtqUg1REyzxYtpWXVKc5c3w3pyCeqNNQUZlU5o7RdMD
2lhz2Rht/p60PQzReuJZe6kxkk/JujV45AZ1cJ1uhhaEa6U4Xz0oXQhzvTu1tIxLercRmTnWdak1
jCvra6qnGo3cLYW2ICz2RUZNri31byLtoWRpD2Q9y2DV8pUAiNT9zinAOdVmYa5DeLSLzrGDLRGL
uAGl6q+CpI82tFUOl3omvKsKy/iKl54nFSp29SIYa3OJuoQhSgWPjt9BX+GurV0YRfQB1ptNVTVo
t0UfWrQ66Vl+0wZAsyOOgqJD/mrDpDfZ0s+VsrZBGk0fG1T7MtgstewyF42/NHuXU17+nb7gHQU0
4N+Keun19eWU0PwRNDTg1gKflvQzddFsMdXDbV+3V4XWXDZK9o5oDUmQPZFpaxDmjiNW1R6+TEt8
x2jCdTD9Xll0vFKqEqZ1nkWOc26nJUa1tEDro8AYizTXdKVXWfxfvNE/cqcnCSJlGP/54PehuQ+e
tlQ8/sCfkhLVPeFARfeC+uf57M/zHk0TJyrkVJfm6VlTgmbpT0kJpzpNo79RNlr8edITeNOqqsFB
kNIZDMHf6qiYmxqfND2CUqVkRVJOHjcRrxxjVXNGWpCPzvjOBWcyxUsHCeq4SW18ANLUNE5xR5cc
Ch88QG2ZhNDjyNITklkYy6zaVSVN0ox00mCIYdczFCgYR+sqLbRaNRY5rVQeTfhGr2J5vUtTGx+/
G0WMSKSXLfa0rvkhwC4qLXZtilQBS70Oq3A18ZRLNzXRN+RVxLq0pPckd74bhUCKtes5Pg/dqS9o
DPNOPUENgoq1A6qy6HjI75UsFzo1e4BHaz/qK0r1Ak0N0ghmk8plYS4Uqg0WTvdlZmcaybykJpCf
PgkvvDQNtqXQJ9h0NDDdZinItIkm9h03RbmZDpEvOMqGt05kVuh40yC6HnLa3IeqPJ2Y8psg99p7
V1MxE6xBeuB0XQGgVMGSuXlH5EUCbmJhOYvYUyx8t1HzDDrVd7T8e13MJrJ0XA0XgR9jJTv0uaR5
xIo/vldGrcV1FjpQRODIkVAXWx0tSrvtDk61gJY9De5bGndlPNzYiRpW7wo0FxlvIaW0lXan8zD/
byroV6kgKnSkuP/zivDHPUdfwoTnUjOKevLH/lwXkJqRfbds26J2bNHn8FceiGrPiZjVZ8/YsKwj
KnUgaZFjU9d4atkKUBYnawTlGhJH9I3ab+WAnmWATAfJKMUBxMBUPG2dxq7nBRQ0WSVNoa19nUJl
nZYZZ6lrqGcSaNmX9ecnD+aFhgD5y/5eheaLUYSQFXMXbaZ+XK3xrUG2LzfmdaCMxd3M6hqbzv1I
Tr6i2UdXKe1izXTvdlG1+xeXJsHF2mxTRJe0uafVu1CJtaHJNfN6kgynjGMEquuxB1UjoDPcQg9C
NosoCpYNjVGcMX5++ec1GHnnAjU8VUrXgSxAJvD55XUjBJFJY+h1kkrXLEfpDgAdwEBhLi83pGzu
P7+m/rwS83hRhgpaYwrawjgq/GRF5rV+4erXGA3otxnS9FM9tZHfI4jE1EWaKpihwcVbrUVHCHm7
ebALDk+JYvMcSluesmjlHnY1xwtvPU2TeY+LbF0uPatTtX03w8nCSZ5PUTajgBmSDErVz+/juZj3
cBu2IVOeFOblHvb82TlI0ttBBPq11iqMlZaK+ZC0aJKdGrkNrVj5fpBOID+/6vOGi8erUlq0BXu5
zj+fX5WzsYgGq9KuI61D7jwr9kUWfFejobyeLbnwXtQuLOGigJ6pWz+//vPSx3x9YIZwo5GRMm6O
50rnuhnCzUG7PjgDyQmDT+1whbBYu/j5pY5Kdo/XcplZjsoFf2hH8EbRZKraatdm6A43ShGAkjpw
Bz0DTCGqS/O+U205O1XsLA5wJrAwhANxoPzidb904/R+slqyWxs/jFrdVHK3VD31um1KJokJmiw/
15tU7RbUz36lnH9pkoCokPOS/4gfyvpaAXVJMTr9ekZTZWOAGny2N2olZC2tIpPTFNA2gIOM8hn6
lHYu4OtRsj4gnUz5XpEYN7+0SCvGqk7CKQZQpTVET0EAaHeVzbA+izbJ/sylQTrZ/OIFvrC8SL64
iWjP4lR13AcRJb7XOqOrXXteBBZkEvDE5nEzNGlxV1V03CDmY90beYCzdYcfckZZ1qNb7mgPQMge
ItlNtlM/IevXPLV+cKQh1s+/50tfkzMjkhV6zegVPprJCg4Mne2Z2jW5ZZad+TFrBVR7TeLXcBj5
1cgmSn6+49jUSmQfmkFlgRzh8RXTBuAyRq31dV+AtrKAIN4j4ZX/ZaBBbCWXsDJsSGmADgGv0VXP
Abgnafw+bGOKC0Y2Ng9G3jHSJa5NVZgEoWGycMoxMT8iVIdsXlooXWI6QR5ImhNChzBPdcENyezg
L2rs3MHxbXEnvGdUTCYqph80TJMTuwLCgX+NaHNcusU4wXYTSnRZ0qHb7LIOngPazi5qVrqF/nQZ
dpAaNi4y32hBg4mhLscBo1k90ru1mjZiAxcEMWpg161GL5k/Gnj9Wt6EkHFyYUMGvfKhUMjkrVSR
59Win/WtpiuCeoW8mJkRSfErW4DUwUZ4WphOkV23UiHr1Gl0rqdOftFF5M9XTl7RekCDpfJJg0ly
qYFb+qqSb18lxAG074KIKfh+XfAwUvq0z5oxwIyzYf8+Az9Gi1RpRMVVOYt3h1nIa0pNryVAvC3w
j1GKj22W4MtleEK8d+nJUKkEI5un9tqViBQtH52sC4CuWtqN7nyh1guRMCPJF+8mMmT6ApyyCe4c
4o9y6mHWeK77LeqMovPOVNAApMw7rV0Ks/Ora1qN0CdHVpNZaMJ0cE2YcxTFlQBHXS0H1wy8lRNx
0vKpknwsYsYIhGOmHM242L1R6/XXhAawFrWGGtvMKa1dkzAhc0DMEQICZ+wKG9uimaI4ilqiMSWB
kY7AxFwMSE7EOd5OccvOrAUaaurpoK0GRobQ2jZAtyGBRn7tH7TYRTg4p6YfAq6mO/orZEQ7X/jI
sLZqGFUr+t59EpVmtanoeOX0WNz1cB8/wcSgd7tzUNwSB3xBEJ7DEyvrrcD4acNRKv+curX1KTcU
iwRmETwwUIZvPtRqMniBn63UltezDLwGdYtfWBS4RbdkYKUwWMH0DAPoJ0XBWTlvHswSI96Bk1Zx
i/A9jPdd5tQkfbOMFpBb0SEvhl0PqyoXq1SAt6eVAUGsg8U1iiH4UbI9rtdpkgAboNCqTMlppOCI
ZtQtPilBZxt83TjKqtVYjqmzwYKT4GdCL5THsYSXyKZx1adQy2qvmPclklik8wmH5wXE9OQDFme8
sdGD55mOI5ylDiIt2uactSIcGZXo1TU2UzMr+R2oLYo7t6p5s7Y28VJDzPuWqlo5q96FjrbI/Nq6
h6rJkh2a/nUrHKDs04grn2fhCeCHKvEqtnWsRimOgrMn6EybqXEUI5mLQFoxWYcEfKV1WtH5vCiZ
oQ5qRoNfT6aWL8eJAxNHSdJtKTis4jHN93EW67cl7Zb8JQntbBp8IhYsZx5tKKab+ivwgPwbn/w6
1uEhgQ+9sfyLSZAx3zgWD6cCZ5hgqgdahsZPLbpoKSG7yPr5VqTAsRIU+XCjH1TeCivqvEYSwznn
nsUmKiKIKV7u1A+lKx+lK7midd3yP+dvm7YtLT8GvdVXOUxcLMmtcLwqZ1BkDNAI/3jJTPR9DC3p
fNZokCAyHCXtqkO5tNb1aLyZEZVGEkncr8723OCTDhKN6HHUefYaDtJk3pm/EXnVrn4IcwYD7TP1
Q1eNcGF9YDCnatzhFylBkSRd6odCOmOVrl/eRTFV5OUQ1uPNHChMmFFjcy4dZfSB+H5mvlYlX2bQ
nejBNBKB4l36yOXYv16oAVPazj0VgHkS5+cMI96dLr8tohI2nlpCkaki36iRShCeU4NFhhDDkW2l
wmKMKWivPcj797SLUG/vchrnT8u64pt3/Ay4XHIMw3mpVIBq5gCnlaFKPEXNw+HwM/vLjKAQcbOy
RhN5jBKXsCWQ0pnvehR7KEQt8z4QaNm3bDt8wUIf4FM6StZHJMo17ws1fC6ezVNIwzh72HTkTAiD
2HkAGfTXjtnjXOnCdeYE4RDc8X9dX2MDpijA2pbLowp143CrjRqBAVmtU5s3fUHdXZxyO/ne6BT7
JhzbEZJakPBtuzasdvCO8OqVw9Mig36hYk0PNRuJSLWOOsJV04nG9l3R+0qwS+ETE6XZqOAXyDwc
Y01ajy/jAYhY4IPIM5vRTkMXitsoxi583UjK7wHHmwQAWYOUXM6CIjn3Py8CtMuiNQwBWSxBNQOS
GC3jtKSpeF/Y8vJpD6iNMi/hWKMVd9gO5HvX560S7pe70jN4qxTTQDKwkfMcekJQV/qIonscrobR
t+8rhwbdmE7hdK2HEzxp32LGV1XNN5lHIoVqrd7P8F5LI0Zfa5gBGMS0pV9fuYMHWMHJ5QuKSiQM
Gx3O/w4go0uhdhpQ6HMcramUNARFuiMbLPTeT9/jvGndG1Gk3eqKwxnAjTiGmFRJb3tDujMZuuyP
YJ3H1HMM3eLO9gui91Lrh6v5DtmJiJFrmxWoyukdmw+8E+6Gd5MkgXc+R9SQpRtvFY60t23Jv8xR
FxjrRkZpE8JiPKCk+9G8bY6TyogqElRchhNw75NV0KClY3MPGSZdVdLmb35qVdENLspOLZnI//N1
Apu7iCVtt2gb5msWYKWVxBnTahoNbyXwItm0dUJd2qp9lqMQx60lCgpWx6CuLGMRMOSRaUhodBB6
eEL3gEV2Y2iBnLZo67JuhqrPqmXWSw85pVKte5NCEKwSSfqeCVRJ0sIfprKbr10ME5OztLP56aQN
9PI9Leo9Q0QS15doiUD4RvPaN+iRsgX0yiJPKILzznoyG84rEDfy/fwADmuRPLh30v92XlgrH4OV
A6Ha8we2taEpqt0gwvELfQLe9Tw+Tb31ttTlyTBmpRm/E63DEHFUdEWYh3ZngT9WzuOASDFs+F6I
Lu6WaYXJoRLBwUhmv2GbXMo8KuwhltBaap2w0qlUamUG89qS2Ya4VtA/21mmoVOxMlYiNFjKUpQ6
SQi6dUFmhfKGlD5l9NG/i34N9m+9HQmEqlWv6doFClzcjuXiYAWUiKGY+swsAdLyRhf0VW2gZWNL
G+XuR8MItUv04WBLgolBraKwb5dNz6I9r4Bm3MTpimo5D7vxJOvbxSfDXxiiZ9rIDShbAMkYga90
DYtC7ledtykVB9piNltBRi2td2ujHLmuX4xwqEezshcFR7WPrvSj9C2f+8YlB5hSDztZWZFSBgyA
qXIBzURzwmHXtF0WXGo1MtpTuHbaRTV7nFpOw/Pww5zRrmpAM28bqyUI8ZXY/aj2cL+zYpD3K9we
Zbku3rfOkF4ClPoaKB6GmRDydxZgp4WQfmIg76PvvoExq5BCIMPmSI21jcEEHtgecedlRxrDflo2
pDxdIpTR/hhHwKatsOCF5lY/DVuljYyNmjnU//2SImDQDelpWBTRO8OsNW3JrpmecrIfdpkGkn2J
iDt75+VG/t0dEuIFWxL/qVgwwqpaB800DHWjnqHtAo4deagJsCUNiKlaE6WZnmTJqZLrEjonpFVj
4vXKez/SeT1VWvDfpavxkAxrGq7IACLkNCjFG0gjk0XZEeOkMqQrAwjhsU9JdabY0yzDnJEH5Rgv
xX1vuExVNyhBwKsVX8+bBMkmPSc+oJbBNx3mzcQLWLfJ/ufxt3x2wovdAmC03MM1BdS7R6+zTx1X
Lnbw5AtEOZHkFTasabk9CG9PPq3azXz0UELJJSzpYrZa0MACP1CnxgzFoD+KMxjvNbN19k969Bit
qc9qNUnn+ZkXOa+bbhSzOMJ8NNZzpUZPZLxZeHhEwDOFJwkwiDV6MIu72T0ib1j3qpIp1EhofOgp
9A7k1sb25co8TTk7EGe7YKdbQfjN7Gy13lsFQEziP+rJVkzbl3KIMEqKtwo7cxpnDt7pYlLFKQe2
oZHdui3Qrbba5k3dbhJT1x3OKpD/1HjSbh0HJ7/Bkph+8jw8EhHhXr7wPFji2xlZbnejfRuQsV5N
peQoWpBqq0lStw8hs0VPHUaj4CRczDQ2fpwKZ22Pjb7hysFtULXDByR503mAkOFD0foxaDCBdNji
tDPhmKS3gta9VEUxbxbKFQaOtCN6M9LIqIxhpyMo/toWhvUA8nb6lhBVfqfIVX/s9R7bdeIqfa+h
fzrXJB8pkaQk2kCBJrUzQKlE8kgzEYbzZ5YxhBfoefGbjezwj7Ro/Pc2Mf6wbFMou7HEMtEdN15A
B/A+BPAwvublyG+yZoJTONOcppnshFsEDZCogfBew7XHvpuzM/+t8PyqwgM0EzHPTyo8Yf01z+rw
GUvQOPzUY4HHsU/mNDFNuQgDn2npXf2EAQ0y0DUNZ+71/bvwS5EXPK0J2AZSiRAGX+Ox/mvqJyyA
gnwGLcCybPBbnb7HiTcsCMilUlCSDcVS8P88mU1hIohbdspDsFmlNOdaGnXdaRxZ9ZqKo8+TB/RC
peelCwrYO/T5knezNW7sabkl5q4LvUitvWHpzkqTeH0aVmh/TZxy549E/j+/3nGeT94gxEWeF+UV
qENHmUU3wnQHMaq5F3lg30fyaDEHq7XV/YotfJx741K8akoCFCQgQErXxqe3VgUwQtpYM/exPIOH
glKV1UwsTRDkWFWnyf0oME28+AfmqC/cJSOJEiL9BZTRjgW1fRl3o6pU5r7WSUtnTsEpWLEyNjjC
5/QXefgfqgLcKCMQWhO95qRz5p6CJ4K3IU/qlDZJc9/nFPM4AhKR4FujEgx3jWC3yEjDBWcpm7ez
HCsOyayB0lN6SHDqVqXpyu++ZJv6HZ30ki4lzGOsdKRhVEOm29w7vcntotmWGVnMA//ltejJoPDK
EGbgHA0oP6J/lQ4HE6oc9vCtiaW2QLp+08qw+ue3JQfM06qo66INICluWZhQ0dx/VKZDPi+3n9bc
d17wvdZR5HOA+d2qynwRCrzzP1mljkYtiW1TNPDF95N0oImcjsOMI7VFGrH3r6qdUivxwy1J9LdO
uwmP8Fjf6niGhuueZuwjHVXNai6gaJ5C9J1UNZ45Jf7otBAySWXBaQwaAxNOuvB//mBfGME2EBHy
z3KqyiDj+VT10MJ5nh2b+8Fp9DMDXCQ+IjI0KpSaEcrBJ13HsU6sPk6IFlfz5LVkBZQV5FcV6B8n
L9/BBGniyjdNDfz5l4kT18YLrGDy4sJwM8epfUZtgJOMu/75jb90KRulOBU0tpYf6uxD4XDEFqWx
Dy0er+tK6bCSyA4fBzneL6oRz5d6lm/JicHv22RnofJ0PHyLoMlpLi+UM48cAQwHpaLOZGBuNEkj
ry6TLi8/vz3t+RIsLwnVHfiuDbiGF3xcTQcYbeoUvN0z1SOTYDoZgX5d1fTBgHS8CWtae2jt5TQQ
OOTOZnR1SvVgL5SMcB6CKL3Msq1pXkEOqZ5xIpuCmEIBTxjKtMzPv7I1b7F/z3I6Pmy6YWURm5YO
gyazo9dPn09kDqlhntWJmm7UCTPFPLSVja/VcbvI1XSkpshhocq9ZR4Vo73W+GXXFcmVdA08lJOn
h0o0pPTuNw8Tru4PAxZD9uJwqtWpYQQrIkOyMNbsbKb55AHnQw8oCfzWIn6skpk0MUprolp6uvXS
Zq6RVSvHN9HKRDxA6BDReOWHCblEm2TXR6RvCsw71yu1nVZbHI1rXOT6VerCYsc7KvRw/W1DA2xn
VnINmaCa5UBlCe9vYXYmqjcSSdpFHeSMkMLkCEXOvgF2R8htn821ubrxsbYZKw1Sd0zv5ANVpPIO
oo5enMGwGm80h6hF0RuFXA9IgvCzNrq8MjEZNhjxnvzQxzKhUJE1sX0fo2yijhvpWL5pLv50WiF3
6I7EbUqa9GuBR9muK0V5U9kA1qyeY68IffxpWH87MMrQaNPlnH1UDA465DSo+XmkKYwBe6jZF200
9XA7F8jn0vF8Qm1m6Lnbe+Kmrv3po96RWj643s3NdtpQ1Q8xMnwdMAVeTVPtQcFzxgr/vULS1xVv
RILkZTzlVB67p4bnZrYy3Tvvchk79aaobXT5YxpU0Q5CKL4xoxDyoBrYJpUJrEbFWSADk7lGPyff
Mfzk9Es1bVgDLyRtOCdIy7Bk1EATw4XPlrZVYxQVDQkBZ8zQbXvCPpuPkgr5rXpbmx0lYnxR+DIG
rr0pIhv2RTsPmH+56kNGT/H4uAgUCl+r0ZKuFCT0yVyI0WS/aWIORwstQ7ELDJ5ejhprrRo5BZyh
QSFfU2jSorhp8F7cjAn78oKaGuf7wvCnd5NIJn+JOZR1j/jIurel5mhRZxXUPmvUKpDtk76bpt4X
K923zc9Z12W3zhSO79ByJauyHnJtQU5AczZaqFZnYZLTXJjIUkKdDKjRsilvV2rt2beQNELYQDZ1
sQXI0fHCUR11n5oBtJU0dt1laNUk+il7LMdsGm9jBKxreMlFcRarY0hkZMc06qt1dk3KyAFh5bUp
CYOq+e6YU35KP197AXEDAcE4RHQrtjEr03KSWd1eLSoeAg0fn2z8QupNbY32VzoJtVWNRc05pc7K
38hGDrTjbRGutCjPtl3e5hcuIhf0e1MdfPZlBU7kDfQ8WyIgstHbQx0W5dape/sONgQS2ayYPtOK
mZ8ZZuqPdHyZ0+csKeO1ZenTstY6XqNDqw8EwT77HBWRaFbUlutVrFZiK4NRbF8Gap4r2WKwLokB
pRAn3aSODnwpQAmTQQC8aUn5ndLOUpxGFV3mo9WO3zw8Cta4FyrXo5unn8K4g3w7ZgjmsxDNWlnj
UBZX96JB2+WQ6MZzJw2WCDK0TVrk/CJHIf9MwRIjEA+zoLgyYO7YgvoTxMPSFQYyBZp7/Fy++aI/
J9J1dtBHR2uF1XC/MD1ICKhsXA9VmR+QFC9q0vI1gl+MjdZ6mrcfitgui2WX1ZtWEiyyQP2aiDr/
hBUPnsiuNmxqxTNWbcL3wCMmvWZXgic1sbyf22bZo1RReaOCLoRz8g/ZFZ5pBQqEhkGtwJBv7uey
gaJHTIlalnbWedHo0f5gGKkbAzl0Vtvmwa9UFqR8wsrtYLOnNjTOVaKl58RpB0tdx2EwkFDNS6L0
lFLctKT0n995GgWzOeMlxqTaNbXLfuy0lkeHum5iRlglTABVG4p6e+jDo1NCNsnT7KsMnKPqmrLW
yu5I3HSFydRvA6vcmQNSwt1cfCoKhu0yFyiXcCjNkjs9L33iuaClPcbI9Zw5H9Q0wWPK5RTfx6Iz
ZWkRWUUimnqdRWb/jZ4U3NERvFt/AObGbi1w6x3+dAj3ssEPcSzXouBL3TX3EWnVtWWCNlwiUSrr
T8mE4OU9kkY6dx09cC46smVLOwnjddD35S5S7GkDvab4QCdDKhbIHPsPnVWlN5QovuvJ9GnQTe0y
bnQSV3aCZEF3kYOYbaE/+E3gP0xh2L/3W8GbY8ZH67KLfdCkPsJWiBNhPC7KpBZnaGBAHQx9UqQ0
9bOOI1Wt/X4HPFvdm2U+vgMYa9zYyIvgpKdxqy1s3gI8Y/IJH5Wsw/tq0Jrk3VBV5iUazeSy1Mz2
Jg0d/P9yrf4KRilZ581kfIE21u0R9k3SI08P7UXtGKiv8P1Z9O3Uu4u0TFguoHiihnLMM9oVvniF
0r/vcRWnj65F+BX61ue4t2G0YiDusldKmDo5bP/CJWn2rhqQ3ypuD9cs6Pz6Xg/7Ar4CbQoZgom9
ZquKtzAbkEBbjSVvoxDMgqDWdN3Dlo1m7U1AL+Atbi0FyAFjel+EgXeuju103QSg7F0MzO/apCnb
tVrXZng2hMNgYaJHj83C8XonvrAHEtxbN2jrHadc5TwSU/6BRmfdXSq4OAE7UYQakxd1+oueHf67
1pX1u7Youu3ARrjPojpNVgVeuWTtNY4XAYvbFtCQhjUtkYWy9DvRXft614PdiTzwmjVL3l08NFBv
xsQ6H0KdZdRQIY4tS5wSsP5Nq9ZbJlmuv2vEOFkLOqiQyzmJMFkQtf5broM02rhA5KgFkN81zRIj
8MSednUrwps61coPrTbWH50ERVI30Iw/RQNVEci36E1Ie6PHjQRYi15gw+JNwQMNOuxDjQprDLVp
mIAVJkHdTZxTsoQU9tLKvfCS/rDhg1r1yjsrbGimCI3S2DiKUYkFnaDWpqyF1S9zPXTrbcvY/Q7p
ffijcIzma2954qG3gXNvVAq96BQBPwANzROB/s0hb4+4swxXVUA30040xXcrGPyrOqKtYDGFdXNm
9AMuEHmO3iwYwnJcmGTW0dBm1aWCTGetq7bXrFyfmN2fxmGgoygHTme1ZuPACER4pZii+wRFLaet
xp+iS/LCQgVQkiWXGV6uIED0QaFx2OCtJSSQTNr0+2RoPw4BTkrmoV/3f00u9PFGVvfN/XpGhl63
36rx5hvmjM1fNtfyT6/yMGtu83/3l/5kC7z8ix7Bor/IrpLZkNiOZ9nV+UvN3/hnvyO5b2D1PHz7
n/9jqpBKYbqRvZw5Ni7Nugm+1Y9/TKnthMvQ1U2f9eEzX/DJQ/pPj+Hnd3h4nj//O8/u4GtOR5t8
DxTknmWLaeX/Z8/g6Df8/QwM98SiNUeYHHznj/H8GbgoBuQTkgmG+XO44P//Z3CPbTnteHVThV+b
p1IpZO7HQorfHQiGCZcWQx466A83ych6OhDItZNh4WBMHm3+kBlh5L2hhwDLhsH7qtlgiBPdwgTV
1dzDTfJUnz4EAPsnxJnSee+AfTpc8A09BNm9+tqHoJ8Im2KGLr2/nt69rMSYpFggGx+GyNu7exKA
r71780R3DRKaWPrNn6OHAJXrhKeDaoHEp/wcJt4bGgK6fHuvfAomN6k7KCpZE+bP0WogNPwmpBST
BzF/DoPuLT0FNJmvHguuBAlJjZgsfvE5egp4XJzYlkU+gEfxJscCeiySyq9bEx2s1xwLlhF9p483
+XRVAOeJao6ssf32xoCpGySDX3X7BEgUWjFXmQugP44Bh9VSJf0Ma+rweN7cU4D3/urgQGom0UvR
2zTPg+MoUVjY/UEjNrTH9eLNBQeCfsbXjgTWPGFpFoDiFyeCYCQY0pVHf3N3ryHuo/b5qomgw1tz
mQhU/V68fSaC6TANIH+80YlABvIHW8vfDZNpHnExzTVlFDR/mO5PV0NmAmJamIp/hg+H5fcNbYwS
rf3a8MDQTyR6HPQB8ab8HMXJjnFiUpCltv94WHhziyKHWue1M4JzIwcFF5Hn33f5dCwQL0u3Ltpm
HsfK21sXwGUQ375qXWBGoDi0OT6bh7FwNCNcg9O1KkXwj3/+5mYEXTg/2LP99rqgcnzm4Pg4En6Y
EUKcoDiGSvgkjOCxv6V1gRn92mCJ8zP1Nd2xrccT4lHA7MDfBPEtZiCmHC1vbkYYtBe8enXkKcBn
dg36EubP0VMQDj5+tHPI1o758+ZWx0fS6qvWBcM4oR/DpXXlcY84WhewLIRNQ8MZSZX58+bWBfrz
nMOrOVDT/8rV/kZ+1VBP0H6y/NmPd3mUX3WlHZTmkG94PGIeBt8bWhd0sLiv3SMMzpAsDJwejqIl
m8MTOP6/MqtvbibQ4Ga+dgywQ5IzlB3HL6cRSKYgpiex9vic39LLJ9H52jDJtE8MAkWyx4+b41Gw
6Jon9AeQrtEPV3pTt69JOsmr1kGTxLowBeiIxxXgaDdgTxTkl9gK3uo6qNNo/tpBwIkBjAaJsj8T
CEcrAXUmieqWraSHKPLN7QY8hVdPBdZBggKOCyhW5g+P9emJQRZZiI7o7n0cC28uPpKNqIe0/7/f
E020GSRRSKm9fGLQQP2RWJ5bnOfJ95ZWBILbV98/iSRKSIYAQPTiKHBPCBkEIrvHRNObmwsvsRx/
98TE6dlgUySp+HiXR3NhLrQIIiPdfnP3T1rZfW1MZBontkOeCGjdYRQcxceyxCKfDkHDX6PkbZ0Y
yadpr34K9B9gnSMty/+6y6crosDznE1DR5Rz+Ly9+JjD7Kt3R/OEc5JkDj2uCEdjAX3jCaQyHpT0
fH9ro8CW6pBXxUgGJSSoi1JId3jLDKtno4AuFIc6m/T6mD9vb0WA/frac4J8Cg4QL9irh89xoExe
gUGgYhb4OBne3FgwWdBeORZYF9EZUk3CO/nweT4WyF+f0IRC2VGiPt/WXDBQRB1Ctn8fHTEKUKy6
TPXH49LRvkhWGb8mKcJ5jJTf3IpgkD569VPQqCgi3SU99PJcIHqgBkM+9e9M4xsbCy/QbX83RiJS
NnEBhFL9OOOP1sXDXJCJ28cDxdsbCy8owH/7KRADGEhmDUTPL60InB0hXlCbhEU4fw4L8T86NfyD
v0TTp/xbX5Nv99X//X8AAAD//w==</cx:binary>
              </cx:geoCache>
            </cx:geography>
          </cx:layoutPr>
          <cx:valueColors>
            <cx:minColor>
              <a:schemeClr val="accent1">
                <a:lumMod val="40000"/>
                <a:lumOff val="60000"/>
              </a:schemeClr>
            </cx:min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solidFill>
      <a:schemeClr val="bg1"/>
    </a:solid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hyperlink" Target="#' dashbord map'!A1"/><Relationship Id="rId5" Type="http://schemas.openxmlformats.org/officeDocument/2006/relationships/chart" Target="../charts/chart5.xml"/><Relationship Id="rId15" Type="http://schemas.microsoft.com/office/2007/relationships/hdphoto" Target="../media/hdphoto2.wdp"/><Relationship Id="rId10" Type="http://schemas.openxmlformats.org/officeDocument/2006/relationships/hyperlink" Target="#'dashbord details'!A1"/><Relationship Id="rId4" Type="http://schemas.openxmlformats.org/officeDocument/2006/relationships/chart" Target="../charts/chart4.xml"/><Relationship Id="rId9" Type="http://schemas.openxmlformats.org/officeDocument/2006/relationships/hyperlink" Target="#'dashbord home'!A1"/><Relationship Id="rId1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hyperlink" Target="#' dashbord map'!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hyperlink" Target="#'dashbord details'!A1"/><Relationship Id="rId5" Type="http://schemas.microsoft.com/office/2007/relationships/hdphoto" Target="../media/hdphoto1.wdp"/><Relationship Id="rId10" Type="http://schemas.openxmlformats.org/officeDocument/2006/relationships/hyperlink" Target="#'dashbord home'!A1"/><Relationship Id="rId4" Type="http://schemas.openxmlformats.org/officeDocument/2006/relationships/image" Target="../media/image1.png"/><Relationship Id="rId9" Type="http://schemas.microsoft.com/office/2007/relationships/hdphoto" Target="../media/hdphoto3.wdp"/></Relationships>
</file>

<file path=xl/drawings/_rels/drawing4.xml.rels><?xml version="1.0" encoding="UTF-8" standalone="yes"?>
<Relationships xmlns="http://schemas.openxmlformats.org/package/2006/relationships"><Relationship Id="rId8" Type="http://schemas.openxmlformats.org/officeDocument/2006/relationships/hyperlink" Target="#'dashbord home'!A1"/><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9.xml"/><Relationship Id="rId6" Type="http://schemas.openxmlformats.org/officeDocument/2006/relationships/image" Target="../media/image5.png"/><Relationship Id="rId11" Type="http://schemas.microsoft.com/office/2014/relationships/chartEx" Target="../charts/chartEx2.xml"/><Relationship Id="rId5" Type="http://schemas.openxmlformats.org/officeDocument/2006/relationships/image" Target="../media/image3.png"/><Relationship Id="rId10" Type="http://schemas.openxmlformats.org/officeDocument/2006/relationships/hyperlink" Target="#' dashbord map'!A1"/><Relationship Id="rId4" Type="http://schemas.openxmlformats.org/officeDocument/2006/relationships/image" Target="../media/image2.png"/><Relationship Id="rId9" Type="http://schemas.openxmlformats.org/officeDocument/2006/relationships/hyperlink" Target="#'dashbord details'!A1"/></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32</xdr:col>
      <xdr:colOff>422767</xdr:colOff>
      <xdr:row>0</xdr:row>
      <xdr:rowOff>1657350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47FAE1FD-056C-407E-A55A-087423068E5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981575" y="0"/>
              <a:ext cx="11246977" cy="16573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375454</xdr:colOff>
      <xdr:row>3</xdr:row>
      <xdr:rowOff>124815</xdr:rowOff>
    </xdr:from>
    <xdr:to>
      <xdr:col>5</xdr:col>
      <xdr:colOff>303737</xdr:colOff>
      <xdr:row>23</xdr:row>
      <xdr:rowOff>67234</xdr:rowOff>
    </xdr:to>
    <xdr:graphicFrame macro="">
      <xdr:nvGraphicFramePr>
        <xdr:cNvPr id="2" name="Chart 1">
          <a:extLst>
            <a:ext uri="{FF2B5EF4-FFF2-40B4-BE49-F238E27FC236}">
              <a16:creationId xmlns:a16="http://schemas.microsoft.com/office/drawing/2014/main" id="{1EFB4D96-48BF-45D1-98A5-B95692F8B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326064</xdr:colOff>
      <xdr:row>3</xdr:row>
      <xdr:rowOff>146219</xdr:rowOff>
    </xdr:from>
    <xdr:to>
      <xdr:col>20</xdr:col>
      <xdr:colOff>482946</xdr:colOff>
      <xdr:row>23</xdr:row>
      <xdr:rowOff>90172</xdr:rowOff>
    </xdr:to>
    <xdr:graphicFrame macro="">
      <xdr:nvGraphicFramePr>
        <xdr:cNvPr id="3" name="Chart 2">
          <a:extLst>
            <a:ext uri="{FF2B5EF4-FFF2-40B4-BE49-F238E27FC236}">
              <a16:creationId xmlns:a16="http://schemas.microsoft.com/office/drawing/2014/main" id="{0019CE39-265E-4DCB-8303-0F901FD52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516479</xdr:colOff>
      <xdr:row>3</xdr:row>
      <xdr:rowOff>123768</xdr:rowOff>
    </xdr:from>
    <xdr:to>
      <xdr:col>26</xdr:col>
      <xdr:colOff>230173</xdr:colOff>
      <xdr:row>23</xdr:row>
      <xdr:rowOff>96521</xdr:rowOff>
    </xdr:to>
    <xdr:graphicFrame macro="">
      <xdr:nvGraphicFramePr>
        <xdr:cNvPr id="4" name="Chart 3">
          <a:extLst>
            <a:ext uri="{FF2B5EF4-FFF2-40B4-BE49-F238E27FC236}">
              <a16:creationId xmlns:a16="http://schemas.microsoft.com/office/drawing/2014/main" id="{6923211A-9BDE-40B6-BD4E-92FCE7DE6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353545</xdr:colOff>
      <xdr:row>23</xdr:row>
      <xdr:rowOff>84604</xdr:rowOff>
    </xdr:from>
    <xdr:to>
      <xdr:col>5</xdr:col>
      <xdr:colOff>291352</xdr:colOff>
      <xdr:row>43</xdr:row>
      <xdr:rowOff>27452</xdr:rowOff>
    </xdr:to>
    <xdr:graphicFrame macro="">
      <xdr:nvGraphicFramePr>
        <xdr:cNvPr id="5" name="Chart 4">
          <a:extLst>
            <a:ext uri="{FF2B5EF4-FFF2-40B4-BE49-F238E27FC236}">
              <a16:creationId xmlns:a16="http://schemas.microsoft.com/office/drawing/2014/main" id="{9A461A44-9D26-406D-850C-434992B61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309003</xdr:colOff>
      <xdr:row>23</xdr:row>
      <xdr:rowOff>108985</xdr:rowOff>
    </xdr:from>
    <xdr:to>
      <xdr:col>20</xdr:col>
      <xdr:colOff>510709</xdr:colOff>
      <xdr:row>43</xdr:row>
      <xdr:rowOff>52938</xdr:rowOff>
    </xdr:to>
    <xdr:graphicFrame macro="">
      <xdr:nvGraphicFramePr>
        <xdr:cNvPr id="6" name="Chart 5">
          <a:extLst>
            <a:ext uri="{FF2B5EF4-FFF2-40B4-BE49-F238E27FC236}">
              <a16:creationId xmlns:a16="http://schemas.microsoft.com/office/drawing/2014/main" id="{E17B9867-6EFF-43F4-8DB7-F672F7926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526677</xdr:colOff>
      <xdr:row>23</xdr:row>
      <xdr:rowOff>119167</xdr:rowOff>
    </xdr:from>
    <xdr:to>
      <xdr:col>26</xdr:col>
      <xdr:colOff>281149</xdr:colOff>
      <xdr:row>43</xdr:row>
      <xdr:rowOff>62093</xdr:rowOff>
    </xdr:to>
    <xdr:grpSp>
      <xdr:nvGrpSpPr>
        <xdr:cNvPr id="7" name="Group 6">
          <a:extLst>
            <a:ext uri="{FF2B5EF4-FFF2-40B4-BE49-F238E27FC236}">
              <a16:creationId xmlns:a16="http://schemas.microsoft.com/office/drawing/2014/main" id="{46A3A8C1-CA41-460C-9020-AC75D1E60A86}"/>
            </a:ext>
          </a:extLst>
        </xdr:cNvPr>
        <xdr:cNvGrpSpPr/>
      </xdr:nvGrpSpPr>
      <xdr:grpSpPr>
        <a:xfrm>
          <a:off x="12483353" y="3817108"/>
          <a:ext cx="3385178" cy="3080573"/>
          <a:chOff x="12588613" y="3801260"/>
          <a:chExt cx="3414641" cy="3182400"/>
        </a:xfrm>
      </xdr:grpSpPr>
      <xdr:sp macro="" textlink="">
        <xdr:nvSpPr>
          <xdr:cNvPr id="8" name="Rectangle: Rounded Corners 7">
            <a:extLst>
              <a:ext uri="{FF2B5EF4-FFF2-40B4-BE49-F238E27FC236}">
                <a16:creationId xmlns:a16="http://schemas.microsoft.com/office/drawing/2014/main" id="{C03B9CE9-70B4-4FAC-B5F5-437F8C220258}"/>
              </a:ext>
            </a:extLst>
          </xdr:cNvPr>
          <xdr:cNvSpPr/>
        </xdr:nvSpPr>
        <xdr:spPr>
          <a:xfrm>
            <a:off x="12588613" y="3801260"/>
            <a:ext cx="3414641" cy="3182400"/>
          </a:xfrm>
          <a:prstGeom prst="roundRect">
            <a:avLst>
              <a:gd name="adj" fmla="val 150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F77A3759-4507-4AB1-BCBC-AA89F1D241DB}"/>
                  </a:ext>
                </a:extLst>
              </xdr:cNvPr>
              <xdr:cNvGraphicFramePr/>
            </xdr:nvGraphicFramePr>
            <xdr:xfrm>
              <a:off x="12621949" y="3826745"/>
              <a:ext cx="3373141" cy="3109822"/>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621949" y="3826745"/>
                <a:ext cx="3373141" cy="31098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26</xdr:col>
      <xdr:colOff>258737</xdr:colOff>
      <xdr:row>3</xdr:row>
      <xdr:rowOff>152168</xdr:rowOff>
    </xdr:from>
    <xdr:to>
      <xdr:col>29</xdr:col>
      <xdr:colOff>322585</xdr:colOff>
      <xdr:row>17</xdr:row>
      <xdr:rowOff>22412</xdr:rowOff>
    </xdr:to>
    <mc:AlternateContent xmlns:mc="http://schemas.openxmlformats.org/markup-compatibility/2006" xmlns:a14="http://schemas.microsoft.com/office/drawing/2010/main">
      <mc:Choice Requires="a14">
        <xdr:graphicFrame macro="">
          <xdr:nvGraphicFramePr>
            <xdr:cNvPr id="10" name="Ship Mode 3">
              <a:extLst>
                <a:ext uri="{FF2B5EF4-FFF2-40B4-BE49-F238E27FC236}">
                  <a16:creationId xmlns:a16="http://schemas.microsoft.com/office/drawing/2014/main" id="{30EFB1CE-7663-4269-97C5-B039B9970697}"/>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mlns="">
        <xdr:sp macro="" textlink="">
          <xdr:nvSpPr>
            <xdr:cNvPr id="0" name=""/>
            <xdr:cNvSpPr>
              <a:spLocks noTextEdit="1"/>
            </xdr:cNvSpPr>
          </xdr:nvSpPr>
          <xdr:spPr>
            <a:xfrm>
              <a:off x="15846119" y="622815"/>
              <a:ext cx="1879201" cy="2156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261779</xdr:colOff>
      <xdr:row>17</xdr:row>
      <xdr:rowOff>22412</xdr:rowOff>
    </xdr:from>
    <xdr:to>
      <xdr:col>29</xdr:col>
      <xdr:colOff>325627</xdr:colOff>
      <xdr:row>30</xdr:row>
      <xdr:rowOff>39881</xdr:rowOff>
    </xdr:to>
    <mc:AlternateContent xmlns:mc="http://schemas.openxmlformats.org/markup-compatibility/2006" xmlns:a14="http://schemas.microsoft.com/office/drawing/2010/main">
      <mc:Choice Requires="a14">
        <xdr:graphicFrame macro="">
          <xdr:nvGraphicFramePr>
            <xdr:cNvPr id="11" name="Region 3">
              <a:extLst>
                <a:ext uri="{FF2B5EF4-FFF2-40B4-BE49-F238E27FC236}">
                  <a16:creationId xmlns:a16="http://schemas.microsoft.com/office/drawing/2014/main" id="{F7BAEB99-C296-4254-BE50-1EC2AF35DDA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849161" y="2779059"/>
              <a:ext cx="1879201" cy="2056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269943</xdr:colOff>
      <xdr:row>30</xdr:row>
      <xdr:rowOff>52936</xdr:rowOff>
    </xdr:from>
    <xdr:to>
      <xdr:col>29</xdr:col>
      <xdr:colOff>333791</xdr:colOff>
      <xdr:row>43</xdr:row>
      <xdr:rowOff>76200</xdr:rowOff>
    </xdr:to>
    <mc:AlternateContent xmlns:mc="http://schemas.openxmlformats.org/markup-compatibility/2006" xmlns:a14="http://schemas.microsoft.com/office/drawing/2010/main">
      <mc:Choice Requires="a14">
        <xdr:graphicFrame macro="">
          <xdr:nvGraphicFramePr>
            <xdr:cNvPr id="12" name="Category 3">
              <a:extLst>
                <a:ext uri="{FF2B5EF4-FFF2-40B4-BE49-F238E27FC236}">
                  <a16:creationId xmlns:a16="http://schemas.microsoft.com/office/drawing/2014/main" id="{345C7745-174A-462A-B938-8B89F260E0B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5857325" y="4849054"/>
              <a:ext cx="1879201" cy="20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392023</xdr:colOff>
      <xdr:row>0</xdr:row>
      <xdr:rowOff>122992</xdr:rowOff>
    </xdr:from>
    <xdr:to>
      <xdr:col>9</xdr:col>
      <xdr:colOff>28575</xdr:colOff>
      <xdr:row>3</xdr:row>
      <xdr:rowOff>0</xdr:rowOff>
    </xdr:to>
    <xdr:sp macro="" textlink="">
      <xdr:nvSpPr>
        <xdr:cNvPr id="13" name="Rectangle: Rounded Corners 12">
          <a:extLst>
            <a:ext uri="{FF2B5EF4-FFF2-40B4-BE49-F238E27FC236}">
              <a16:creationId xmlns:a16="http://schemas.microsoft.com/office/drawing/2014/main" id="{1A2B3E56-337E-424D-A110-49408950EBA3}"/>
            </a:ext>
          </a:extLst>
        </xdr:cNvPr>
        <xdr:cNvSpPr/>
      </xdr:nvSpPr>
      <xdr:spPr>
        <a:xfrm>
          <a:off x="3854641" y="122992"/>
          <a:ext cx="1451905" cy="347655"/>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xdr:txBody>
    </xdr:sp>
    <xdr:clientData/>
  </xdr:twoCellAnchor>
  <xdr:twoCellAnchor editAs="oneCell">
    <xdr:from>
      <xdr:col>10</xdr:col>
      <xdr:colOff>569323</xdr:colOff>
      <xdr:row>0</xdr:row>
      <xdr:rowOff>89495</xdr:rowOff>
    </xdr:from>
    <xdr:to>
      <xdr:col>11</xdr:col>
      <xdr:colOff>429117</xdr:colOff>
      <xdr:row>3</xdr:row>
      <xdr:rowOff>1</xdr:rowOff>
    </xdr:to>
    <xdr:pic>
      <xdr:nvPicPr>
        <xdr:cNvPr id="14" name="Picture 13">
          <a:extLst>
            <a:ext uri="{FF2B5EF4-FFF2-40B4-BE49-F238E27FC236}">
              <a16:creationId xmlns:a16="http://schemas.microsoft.com/office/drawing/2014/main" id="{39ACB6DF-9948-4341-ADCE-75E4FDA9A18A}"/>
            </a:ext>
          </a:extLst>
        </xdr:cNvPr>
        <xdr:cNvPicPr>
          <a:picLocks noChangeAspect="1"/>
        </xdr:cNvPicPr>
      </xdr:nvPicPr>
      <xdr:blipFill>
        <a:blip xmlns:r="http://schemas.openxmlformats.org/officeDocument/2006/relationships" r:embed="rId7" cstate="print">
          <a:biLevel thresh="75000"/>
          <a:extLst>
            <a:ext uri="{BEBA8EAE-BF5A-486C-A8C5-ECC9F3942E4B}">
              <a14:imgProps xmlns:a14="http://schemas.microsoft.com/office/drawing/2010/main">
                <a14:imgLayer r:embed="rId8">
                  <a14:imgEffect>
                    <a14:saturation sat="33000"/>
                  </a14:imgEffect>
                </a14:imgLayer>
              </a14:imgProps>
            </a:ext>
            <a:ext uri="{28A0092B-C50C-407E-A947-70E740481C1C}">
              <a14:useLocalDpi xmlns:a14="http://schemas.microsoft.com/office/drawing/2010/main" val="0"/>
            </a:ext>
          </a:extLst>
        </a:blip>
        <a:stretch>
          <a:fillRect/>
        </a:stretch>
      </xdr:blipFill>
      <xdr:spPr>
        <a:xfrm>
          <a:off x="6452411" y="89495"/>
          <a:ext cx="487324" cy="381153"/>
        </a:xfrm>
        <a:prstGeom prst="rect">
          <a:avLst/>
        </a:prstGeom>
      </xdr:spPr>
    </xdr:pic>
    <xdr:clientData/>
  </xdr:twoCellAnchor>
  <xdr:twoCellAnchor>
    <xdr:from>
      <xdr:col>12</xdr:col>
      <xdr:colOff>376710</xdr:colOff>
      <xdr:row>0</xdr:row>
      <xdr:rowOff>134471</xdr:rowOff>
    </xdr:from>
    <xdr:to>
      <xdr:col>15</xdr:col>
      <xdr:colOff>13262</xdr:colOff>
      <xdr:row>3</xdr:row>
      <xdr:rowOff>11479</xdr:rowOff>
    </xdr:to>
    <xdr:sp macro="" textlink="">
      <xdr:nvSpPr>
        <xdr:cNvPr id="15" name="Rectangle: Rounded Corners 14">
          <a:extLst>
            <a:ext uri="{FF2B5EF4-FFF2-40B4-BE49-F238E27FC236}">
              <a16:creationId xmlns:a16="http://schemas.microsoft.com/office/drawing/2014/main" id="{34618DAF-1029-4FB6-B662-EBC09CE6CB29}"/>
            </a:ext>
          </a:extLst>
        </xdr:cNvPr>
        <xdr:cNvSpPr/>
      </xdr:nvSpPr>
      <xdr:spPr>
        <a:xfrm>
          <a:off x="7492445" y="134471"/>
          <a:ext cx="1451905" cy="347655"/>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a:solidFill>
                <a:schemeClr val="bg1"/>
              </a:solidFill>
            </a:rPr>
            <a:t>Total Profit</a:t>
          </a:r>
        </a:p>
      </xdr:txBody>
    </xdr:sp>
    <xdr:clientData/>
  </xdr:twoCellAnchor>
  <xdr:twoCellAnchor>
    <xdr:from>
      <xdr:col>18</xdr:col>
      <xdr:colOff>383808</xdr:colOff>
      <xdr:row>0</xdr:row>
      <xdr:rowOff>134471</xdr:rowOff>
    </xdr:from>
    <xdr:to>
      <xdr:col>21</xdr:col>
      <xdr:colOff>20360</xdr:colOff>
      <xdr:row>3</xdr:row>
      <xdr:rowOff>11479</xdr:rowOff>
    </xdr:to>
    <xdr:sp macro="" textlink="">
      <xdr:nvSpPr>
        <xdr:cNvPr id="16" name="Rectangle: Rounded Corners 15">
          <a:extLst>
            <a:ext uri="{FF2B5EF4-FFF2-40B4-BE49-F238E27FC236}">
              <a16:creationId xmlns:a16="http://schemas.microsoft.com/office/drawing/2014/main" id="{1C984A12-C475-4405-9DC4-62601DA544AB}"/>
            </a:ext>
          </a:extLst>
        </xdr:cNvPr>
        <xdr:cNvSpPr/>
      </xdr:nvSpPr>
      <xdr:spPr>
        <a:xfrm>
          <a:off x="11130249" y="134471"/>
          <a:ext cx="1451905" cy="347655"/>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Orders</a:t>
          </a:r>
        </a:p>
      </xdr:txBody>
    </xdr:sp>
    <xdr:clientData/>
  </xdr:twoCellAnchor>
  <xdr:twoCellAnchor>
    <xdr:from>
      <xdr:col>24</xdr:col>
      <xdr:colOff>390907</xdr:colOff>
      <xdr:row>0</xdr:row>
      <xdr:rowOff>134471</xdr:rowOff>
    </xdr:from>
    <xdr:to>
      <xdr:col>27</xdr:col>
      <xdr:colOff>27459</xdr:colOff>
      <xdr:row>3</xdr:row>
      <xdr:rowOff>11479</xdr:rowOff>
    </xdr:to>
    <xdr:sp macro="" textlink="">
      <xdr:nvSpPr>
        <xdr:cNvPr id="17" name="Rectangle: Rounded Corners 16">
          <a:extLst>
            <a:ext uri="{FF2B5EF4-FFF2-40B4-BE49-F238E27FC236}">
              <a16:creationId xmlns:a16="http://schemas.microsoft.com/office/drawing/2014/main" id="{944E7308-345B-4B53-B697-7FE9FAF21C65}"/>
            </a:ext>
          </a:extLst>
        </xdr:cNvPr>
        <xdr:cNvSpPr/>
      </xdr:nvSpPr>
      <xdr:spPr>
        <a:xfrm>
          <a:off x="14768054" y="134471"/>
          <a:ext cx="1451905" cy="347655"/>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Margin</a:t>
          </a:r>
        </a:p>
      </xdr:txBody>
    </xdr:sp>
    <xdr:clientData/>
  </xdr:twoCellAnchor>
  <xdr:twoCellAnchor>
    <xdr:from>
      <xdr:col>29</xdr:col>
      <xdr:colOff>333791</xdr:colOff>
      <xdr:row>3</xdr:row>
      <xdr:rowOff>201453</xdr:rowOff>
    </xdr:from>
    <xdr:to>
      <xdr:col>30</xdr:col>
      <xdr:colOff>333792</xdr:colOff>
      <xdr:row>16</xdr:row>
      <xdr:rowOff>156881</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7C0BF634-3A83-4877-8772-DDE016CD7AA1}"/>
            </a:ext>
          </a:extLst>
        </xdr:cNvPr>
        <xdr:cNvSpPr/>
      </xdr:nvSpPr>
      <xdr:spPr>
        <a:xfrm>
          <a:off x="17736526" y="672100"/>
          <a:ext cx="605119" cy="2084546"/>
        </a:xfrm>
        <a:prstGeom prst="roundRect">
          <a:avLst/>
        </a:prstGeom>
        <a:solidFill>
          <a:schemeClr val="accent1"/>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600" b="1">
              <a:solidFill>
                <a:schemeClr val="tx1"/>
              </a:solidFill>
            </a:rPr>
            <a:t>REPORT</a:t>
          </a:r>
          <a:r>
            <a:rPr lang="ar-EG" sz="3600" b="1">
              <a:solidFill>
                <a:schemeClr val="tx1"/>
              </a:solidFill>
            </a:rPr>
            <a:t> </a:t>
          </a:r>
          <a:r>
            <a:rPr lang="en-US" sz="3600" b="1">
              <a:solidFill>
                <a:schemeClr val="tx1"/>
              </a:solidFill>
            </a:rPr>
            <a:t>1</a:t>
          </a:r>
        </a:p>
      </xdr:txBody>
    </xdr:sp>
    <xdr:clientData/>
  </xdr:twoCellAnchor>
  <xdr:twoCellAnchor>
    <xdr:from>
      <xdr:col>29</xdr:col>
      <xdr:colOff>344997</xdr:colOff>
      <xdr:row>17</xdr:row>
      <xdr:rowOff>27352</xdr:rowOff>
    </xdr:from>
    <xdr:to>
      <xdr:col>30</xdr:col>
      <xdr:colOff>344998</xdr:colOff>
      <xdr:row>30</xdr:row>
      <xdr:rowOff>0</xdr:rowOff>
    </xdr:to>
    <xdr:sp macro="" textlink="">
      <xdr:nvSpPr>
        <xdr:cNvPr id="19" name="Rectangle: Rounded Corners 18">
          <a:hlinkClick xmlns:r="http://schemas.openxmlformats.org/officeDocument/2006/relationships" r:id="rId10"/>
          <a:extLst>
            <a:ext uri="{FF2B5EF4-FFF2-40B4-BE49-F238E27FC236}">
              <a16:creationId xmlns:a16="http://schemas.microsoft.com/office/drawing/2014/main" id="{A1685C20-B7BF-4A2C-B3F1-8BE7C3BF1B03}"/>
            </a:ext>
          </a:extLst>
        </xdr:cNvPr>
        <xdr:cNvSpPr/>
      </xdr:nvSpPr>
      <xdr:spPr>
        <a:xfrm>
          <a:off x="17747732" y="2783999"/>
          <a:ext cx="605119" cy="2012119"/>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200"/>
            <a:t>REPORT 2</a:t>
          </a:r>
        </a:p>
      </xdr:txBody>
    </xdr:sp>
    <xdr:clientData/>
  </xdr:twoCellAnchor>
  <xdr:twoCellAnchor>
    <xdr:from>
      <xdr:col>29</xdr:col>
      <xdr:colOff>333791</xdr:colOff>
      <xdr:row>30</xdr:row>
      <xdr:rowOff>17468</xdr:rowOff>
    </xdr:from>
    <xdr:to>
      <xdr:col>30</xdr:col>
      <xdr:colOff>333792</xdr:colOff>
      <xdr:row>43</xdr:row>
      <xdr:rowOff>30525</xdr:rowOff>
    </xdr:to>
    <xdr:sp macro="" textlink="">
      <xdr:nvSpPr>
        <xdr:cNvPr id="20" name="Rectangle: Rounded Corners 19">
          <a:hlinkClick xmlns:r="http://schemas.openxmlformats.org/officeDocument/2006/relationships" r:id="rId11"/>
          <a:extLst>
            <a:ext uri="{FF2B5EF4-FFF2-40B4-BE49-F238E27FC236}">
              <a16:creationId xmlns:a16="http://schemas.microsoft.com/office/drawing/2014/main" id="{CE4F1E43-24FB-4670-AE38-0FA6EB1B1E98}"/>
            </a:ext>
          </a:extLst>
        </xdr:cNvPr>
        <xdr:cNvSpPr/>
      </xdr:nvSpPr>
      <xdr:spPr>
        <a:xfrm>
          <a:off x="17736526" y="4813586"/>
          <a:ext cx="605119" cy="205252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200"/>
            <a:t>REPORT 3</a:t>
          </a:r>
        </a:p>
      </xdr:txBody>
    </xdr:sp>
    <xdr:clientData/>
  </xdr:twoCellAnchor>
  <xdr:twoCellAnchor editAs="oneCell">
    <xdr:from>
      <xdr:col>16</xdr:col>
      <xdr:colOff>494386</xdr:colOff>
      <xdr:row>0</xdr:row>
      <xdr:rowOff>65691</xdr:rowOff>
    </xdr:from>
    <xdr:to>
      <xdr:col>17</xdr:col>
      <xdr:colOff>319214</xdr:colOff>
      <xdr:row>3</xdr:row>
      <xdr:rowOff>10950</xdr:rowOff>
    </xdr:to>
    <xdr:pic>
      <xdr:nvPicPr>
        <xdr:cNvPr id="21" name="Picture 20">
          <a:extLst>
            <a:ext uri="{FF2B5EF4-FFF2-40B4-BE49-F238E27FC236}">
              <a16:creationId xmlns:a16="http://schemas.microsoft.com/office/drawing/2014/main" id="{52838D0E-E1B6-40CD-9B00-983F110B15F7}"/>
            </a:ext>
          </a:extLst>
        </xdr:cNvPr>
        <xdr:cNvPicPr>
          <a:picLocks noChangeAspect="1"/>
        </xdr:cNvPicPr>
      </xdr:nvPicPr>
      <xdr:blipFill>
        <a:blip xmlns:r="http://schemas.openxmlformats.org/officeDocument/2006/relationships" r:embed="rId12" cstate="print">
          <a:biLevel thresh="75000"/>
          <a:extLst>
            <a:ext uri="{28A0092B-C50C-407E-A947-70E740481C1C}">
              <a14:useLocalDpi xmlns:a14="http://schemas.microsoft.com/office/drawing/2010/main" val="0"/>
            </a:ext>
          </a:extLst>
        </a:blip>
        <a:stretch>
          <a:fillRect/>
        </a:stretch>
      </xdr:blipFill>
      <xdr:spPr>
        <a:xfrm>
          <a:off x="10030592" y="65691"/>
          <a:ext cx="429946" cy="415906"/>
        </a:xfrm>
        <a:prstGeom prst="rect">
          <a:avLst/>
        </a:prstGeom>
      </xdr:spPr>
    </xdr:pic>
    <xdr:clientData/>
  </xdr:twoCellAnchor>
  <xdr:twoCellAnchor editAs="oneCell">
    <xdr:from>
      <xdr:col>22</xdr:col>
      <xdr:colOff>356656</xdr:colOff>
      <xdr:row>0</xdr:row>
      <xdr:rowOff>11206</xdr:rowOff>
    </xdr:from>
    <xdr:to>
      <xdr:col>23</xdr:col>
      <xdr:colOff>247174</xdr:colOff>
      <xdr:row>3</xdr:row>
      <xdr:rowOff>22155</xdr:rowOff>
    </xdr:to>
    <xdr:pic>
      <xdr:nvPicPr>
        <xdr:cNvPr id="22" name="Picture 21">
          <a:extLst>
            <a:ext uri="{FF2B5EF4-FFF2-40B4-BE49-F238E27FC236}">
              <a16:creationId xmlns:a16="http://schemas.microsoft.com/office/drawing/2014/main" id="{A39718BC-A25C-4C33-9697-8C082C232E3C}"/>
            </a:ext>
          </a:extLst>
        </xdr:cNvPr>
        <xdr:cNvPicPr>
          <a:picLocks noChangeAspect="1"/>
        </xdr:cNvPicPr>
      </xdr:nvPicPr>
      <xdr:blipFill>
        <a:blip xmlns:r="http://schemas.openxmlformats.org/officeDocument/2006/relationships" r:embed="rId13"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13523568" y="11206"/>
          <a:ext cx="495635" cy="481596"/>
        </a:xfrm>
        <a:prstGeom prst="rect">
          <a:avLst/>
        </a:prstGeom>
      </xdr:spPr>
    </xdr:pic>
    <xdr:clientData/>
  </xdr:twoCellAnchor>
  <xdr:twoCellAnchor editAs="oneCell">
    <xdr:from>
      <xdr:col>29</xdr:col>
      <xdr:colOff>7987</xdr:colOff>
      <xdr:row>0</xdr:row>
      <xdr:rowOff>109225</xdr:rowOff>
    </xdr:from>
    <xdr:to>
      <xdr:col>29</xdr:col>
      <xdr:colOff>405085</xdr:colOff>
      <xdr:row>3</xdr:row>
      <xdr:rowOff>21638</xdr:rowOff>
    </xdr:to>
    <xdr:pic>
      <xdr:nvPicPr>
        <xdr:cNvPr id="23" name="Picture 22">
          <a:extLst>
            <a:ext uri="{FF2B5EF4-FFF2-40B4-BE49-F238E27FC236}">
              <a16:creationId xmlns:a16="http://schemas.microsoft.com/office/drawing/2014/main" id="{BB3A63BF-6AD9-4309-8081-3922B35F7CD6}"/>
            </a:ext>
          </a:extLst>
        </xdr:cNvPr>
        <xdr:cNvPicPr>
          <a:picLocks noChangeAspect="1"/>
        </xdr:cNvPicPr>
      </xdr:nvPicPr>
      <xdr:blipFill>
        <a:blip xmlns:r="http://schemas.openxmlformats.org/officeDocument/2006/relationships" r:embed="rId14" cstate="print">
          <a:duotone>
            <a:schemeClr val="accent4">
              <a:shade val="45000"/>
              <a:satMod val="135000"/>
            </a:schemeClr>
            <a:prstClr val="white"/>
          </a:duotone>
          <a:extLst>
            <a:ext uri="{BEBA8EAE-BF5A-486C-A8C5-ECC9F3942E4B}">
              <a14:imgProps xmlns:a14="http://schemas.microsoft.com/office/drawing/2010/main">
                <a14:imgLayer r:embed="rId15">
                  <a14:imgEffect>
                    <a14:saturation sat="400000"/>
                  </a14:imgEffect>
                </a14:imgLayer>
              </a14:imgProps>
            </a:ext>
            <a:ext uri="{28A0092B-C50C-407E-A947-70E740481C1C}">
              <a14:useLocalDpi xmlns:a14="http://schemas.microsoft.com/office/drawing/2010/main" val="0"/>
            </a:ext>
          </a:extLst>
        </a:blip>
        <a:stretch>
          <a:fillRect/>
        </a:stretch>
      </xdr:blipFill>
      <xdr:spPr>
        <a:xfrm>
          <a:off x="17410722" y="109225"/>
          <a:ext cx="397098" cy="383060"/>
        </a:xfrm>
        <a:prstGeom prst="rect">
          <a:avLst/>
        </a:prstGeom>
        <a:solidFill>
          <a:schemeClr val="tx2">
            <a:lumMod val="50000"/>
          </a:schemeClr>
        </a:solidFill>
      </xdr:spPr>
    </xdr:pic>
    <xdr:clientData/>
  </xdr:twoCellAnchor>
  <xdr:twoCellAnchor>
    <xdr:from>
      <xdr:col>38</xdr:col>
      <xdr:colOff>394752</xdr:colOff>
      <xdr:row>8</xdr:row>
      <xdr:rowOff>92262</xdr:rowOff>
    </xdr:from>
    <xdr:to>
      <xdr:col>38</xdr:col>
      <xdr:colOff>440471</xdr:colOff>
      <xdr:row>9</xdr:row>
      <xdr:rowOff>6836</xdr:rowOff>
    </xdr:to>
    <xdr:sp macro="" textlink="">
      <xdr:nvSpPr>
        <xdr:cNvPr id="5121" name="Text Box 1">
          <a:extLst>
            <a:ext uri="{FF2B5EF4-FFF2-40B4-BE49-F238E27FC236}">
              <a16:creationId xmlns:a16="http://schemas.microsoft.com/office/drawing/2014/main" id="{46C14FBC-C2C3-4E5B-9683-708E553910AE}"/>
            </a:ext>
          </a:extLst>
        </xdr:cNvPr>
        <xdr:cNvSpPr txBox="1">
          <a:spLocks noChangeArrowheads="1"/>
        </xdr:cNvSpPr>
      </xdr:nvSpPr>
      <xdr:spPr bwMode="auto">
        <a:xfrm rot="5926320" flipH="1" flipV="1">
          <a:off x="23230678" y="1449836"/>
          <a:ext cx="71456" cy="45719"/>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endParaRPr lang="en-US" sz="1000" b="0" i="0" u="none" strike="noStrike" baseline="0">
            <a:solidFill>
              <a:srgbClr val="000000"/>
            </a:solidFill>
            <a:latin typeface="MS Sans Serif"/>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375454</xdr:colOff>
      <xdr:row>3</xdr:row>
      <xdr:rowOff>124815</xdr:rowOff>
    </xdr:from>
    <xdr:to>
      <xdr:col>6</xdr:col>
      <xdr:colOff>33617</xdr:colOff>
      <xdr:row>43</xdr:row>
      <xdr:rowOff>22412</xdr:rowOff>
    </xdr:to>
    <xdr:graphicFrame macro="">
      <xdr:nvGraphicFramePr>
        <xdr:cNvPr id="2" name="Chart 1">
          <a:extLst>
            <a:ext uri="{FF2B5EF4-FFF2-40B4-BE49-F238E27FC236}">
              <a16:creationId xmlns:a16="http://schemas.microsoft.com/office/drawing/2014/main" id="{EE7D32D6-F146-4F80-88B2-2E775D4E2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56028</xdr:colOff>
      <xdr:row>3</xdr:row>
      <xdr:rowOff>146219</xdr:rowOff>
    </xdr:from>
    <xdr:to>
      <xdr:col>20</xdr:col>
      <xdr:colOff>482945</xdr:colOff>
      <xdr:row>43</xdr:row>
      <xdr:rowOff>33618</xdr:rowOff>
    </xdr:to>
    <xdr:graphicFrame macro="">
      <xdr:nvGraphicFramePr>
        <xdr:cNvPr id="3" name="Chart 2">
          <a:extLst>
            <a:ext uri="{FF2B5EF4-FFF2-40B4-BE49-F238E27FC236}">
              <a16:creationId xmlns:a16="http://schemas.microsoft.com/office/drawing/2014/main" id="{6B1B9C29-85B0-4871-969E-E12C66F0F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502872</xdr:colOff>
      <xdr:row>3</xdr:row>
      <xdr:rowOff>123768</xdr:rowOff>
    </xdr:from>
    <xdr:to>
      <xdr:col>26</xdr:col>
      <xdr:colOff>216566</xdr:colOff>
      <xdr:row>43</xdr:row>
      <xdr:rowOff>56030</xdr:rowOff>
    </xdr:to>
    <xdr:graphicFrame macro="">
      <xdr:nvGraphicFramePr>
        <xdr:cNvPr id="4" name="Chart 3">
          <a:extLst>
            <a:ext uri="{FF2B5EF4-FFF2-40B4-BE49-F238E27FC236}">
              <a16:creationId xmlns:a16="http://schemas.microsoft.com/office/drawing/2014/main" id="{4E21B9E8-4821-4D06-A855-F163FEB29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231523</xdr:colOff>
      <xdr:row>3</xdr:row>
      <xdr:rowOff>152167</xdr:rowOff>
    </xdr:from>
    <xdr:to>
      <xdr:col>29</xdr:col>
      <xdr:colOff>295371</xdr:colOff>
      <xdr:row>22</xdr:row>
      <xdr:rowOff>78440</xdr:rowOff>
    </xdr:to>
    <mc:AlternateContent xmlns:mc="http://schemas.openxmlformats.org/markup-compatibility/2006" xmlns:a14="http://schemas.microsoft.com/office/drawing/2010/main">
      <mc:Choice Requires="a14">
        <xdr:graphicFrame macro="">
          <xdr:nvGraphicFramePr>
            <xdr:cNvPr id="10" name="Ship Mode 4">
              <a:extLst>
                <a:ext uri="{FF2B5EF4-FFF2-40B4-BE49-F238E27FC236}">
                  <a16:creationId xmlns:a16="http://schemas.microsoft.com/office/drawing/2014/main" id="{5E3A8F2E-A573-42FF-AEF9-5024D45486DD}"/>
                </a:ext>
              </a:extLst>
            </xdr:cNvPr>
            <xdr:cNvGraphicFramePr/>
          </xdr:nvGraphicFramePr>
          <xdr:xfrm>
            <a:off x="0" y="0"/>
            <a:ext cx="0" cy="0"/>
          </xdr:xfrm>
          <a:graphic>
            <a:graphicData uri="http://schemas.microsoft.com/office/drawing/2010/slicer">
              <sle:slicer xmlns:sle="http://schemas.microsoft.com/office/drawing/2010/slicer" name="Ship Mode 4"/>
            </a:graphicData>
          </a:graphic>
        </xdr:graphicFrame>
      </mc:Choice>
      <mc:Fallback xmlns="">
        <xdr:sp macro="" textlink="">
          <xdr:nvSpPr>
            <xdr:cNvPr id="0" name=""/>
            <xdr:cNvSpPr>
              <a:spLocks noTextEdit="1"/>
            </xdr:cNvSpPr>
          </xdr:nvSpPr>
          <xdr:spPr>
            <a:xfrm>
              <a:off x="15818905" y="622814"/>
              <a:ext cx="1879201" cy="299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224119</xdr:colOff>
      <xdr:row>22</xdr:row>
      <xdr:rowOff>67235</xdr:rowOff>
    </xdr:from>
    <xdr:to>
      <xdr:col>29</xdr:col>
      <xdr:colOff>306578</xdr:colOff>
      <xdr:row>43</xdr:row>
      <xdr:rowOff>50800</xdr:rowOff>
    </xdr:to>
    <mc:AlternateContent xmlns:mc="http://schemas.openxmlformats.org/markup-compatibility/2006" xmlns:a14="http://schemas.microsoft.com/office/drawing/2010/main">
      <mc:Choice Requires="a14">
        <xdr:graphicFrame macro="">
          <xdr:nvGraphicFramePr>
            <xdr:cNvPr id="12" name="Category 4">
              <a:extLst>
                <a:ext uri="{FF2B5EF4-FFF2-40B4-BE49-F238E27FC236}">
                  <a16:creationId xmlns:a16="http://schemas.microsoft.com/office/drawing/2014/main" id="{D1B0E1E6-975B-4968-A7B4-0A547FD8B210}"/>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5811501" y="3608294"/>
              <a:ext cx="1897812" cy="3278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392023</xdr:colOff>
      <xdr:row>0</xdr:row>
      <xdr:rowOff>122992</xdr:rowOff>
    </xdr:from>
    <xdr:to>
      <xdr:col>9</xdr:col>
      <xdr:colOff>28575</xdr:colOff>
      <xdr:row>3</xdr:row>
      <xdr:rowOff>0</xdr:rowOff>
    </xdr:to>
    <xdr:sp macro="" textlink="">
      <xdr:nvSpPr>
        <xdr:cNvPr id="13" name="Rectangle: Rounded Corners 12">
          <a:extLst>
            <a:ext uri="{FF2B5EF4-FFF2-40B4-BE49-F238E27FC236}">
              <a16:creationId xmlns:a16="http://schemas.microsoft.com/office/drawing/2014/main" id="{080AEDA2-748F-488B-90CA-763A20567565}"/>
            </a:ext>
          </a:extLst>
        </xdr:cNvPr>
        <xdr:cNvSpPr/>
      </xdr:nvSpPr>
      <xdr:spPr>
        <a:xfrm>
          <a:off x="3878173" y="122992"/>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xdr:txBody>
    </xdr:sp>
    <xdr:clientData/>
  </xdr:twoCellAnchor>
  <xdr:twoCellAnchor editAs="oneCell">
    <xdr:from>
      <xdr:col>10</xdr:col>
      <xdr:colOff>569323</xdr:colOff>
      <xdr:row>0</xdr:row>
      <xdr:rowOff>89495</xdr:rowOff>
    </xdr:from>
    <xdr:to>
      <xdr:col>11</xdr:col>
      <xdr:colOff>429117</xdr:colOff>
      <xdr:row>3</xdr:row>
      <xdr:rowOff>1</xdr:rowOff>
    </xdr:to>
    <xdr:pic>
      <xdr:nvPicPr>
        <xdr:cNvPr id="14" name="Picture 13">
          <a:extLst>
            <a:ext uri="{FF2B5EF4-FFF2-40B4-BE49-F238E27FC236}">
              <a16:creationId xmlns:a16="http://schemas.microsoft.com/office/drawing/2014/main" id="{9EF83AD4-B37E-4509-A134-BD924B44CC13}"/>
            </a:ext>
          </a:extLst>
        </xdr:cNvPr>
        <xdr:cNvPicPr>
          <a:picLocks noChangeAspect="1"/>
        </xdr:cNvPicPr>
      </xdr:nvPicPr>
      <xdr:blipFill>
        <a:blip xmlns:r="http://schemas.openxmlformats.org/officeDocument/2006/relationships" r:embed="rId4" cstate="print">
          <a:biLevel thresh="75000"/>
          <a:extLst>
            <a:ext uri="{BEBA8EAE-BF5A-486C-A8C5-ECC9F3942E4B}">
              <a14:imgProps xmlns:a14="http://schemas.microsoft.com/office/drawing/2010/main">
                <a14:imgLayer r:embed="rId5">
                  <a14:imgEffect>
                    <a14:saturation sat="33000"/>
                  </a14:imgEffect>
                </a14:imgLayer>
              </a14:imgProps>
            </a:ext>
            <a:ext uri="{28A0092B-C50C-407E-A947-70E740481C1C}">
              <a14:useLocalDpi xmlns:a14="http://schemas.microsoft.com/office/drawing/2010/main" val="0"/>
            </a:ext>
          </a:extLst>
        </a:blip>
        <a:stretch>
          <a:fillRect/>
        </a:stretch>
      </xdr:blipFill>
      <xdr:spPr>
        <a:xfrm>
          <a:off x="6493873" y="89495"/>
          <a:ext cx="488444" cy="396281"/>
        </a:xfrm>
        <a:prstGeom prst="rect">
          <a:avLst/>
        </a:prstGeom>
      </xdr:spPr>
    </xdr:pic>
    <xdr:clientData/>
  </xdr:twoCellAnchor>
  <xdr:twoCellAnchor>
    <xdr:from>
      <xdr:col>12</xdr:col>
      <xdr:colOff>376710</xdr:colOff>
      <xdr:row>0</xdr:row>
      <xdr:rowOff>134471</xdr:rowOff>
    </xdr:from>
    <xdr:to>
      <xdr:col>15</xdr:col>
      <xdr:colOff>13262</xdr:colOff>
      <xdr:row>3</xdr:row>
      <xdr:rowOff>11479</xdr:rowOff>
    </xdr:to>
    <xdr:sp macro="" textlink="">
      <xdr:nvSpPr>
        <xdr:cNvPr id="15" name="Rectangle: Rounded Corners 14">
          <a:extLst>
            <a:ext uri="{FF2B5EF4-FFF2-40B4-BE49-F238E27FC236}">
              <a16:creationId xmlns:a16="http://schemas.microsoft.com/office/drawing/2014/main" id="{5E48EC9E-42E5-4F75-992A-CD43CD9F1C4E}"/>
            </a:ext>
          </a:extLst>
        </xdr:cNvPr>
        <xdr:cNvSpPr/>
      </xdr:nvSpPr>
      <xdr:spPr>
        <a:xfrm>
          <a:off x="7539510" y="134471"/>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a:solidFill>
                <a:schemeClr val="bg1"/>
              </a:solidFill>
            </a:rPr>
            <a:t>Total Profit</a:t>
          </a:r>
        </a:p>
      </xdr:txBody>
    </xdr:sp>
    <xdr:clientData/>
  </xdr:twoCellAnchor>
  <xdr:twoCellAnchor>
    <xdr:from>
      <xdr:col>18</xdr:col>
      <xdr:colOff>383808</xdr:colOff>
      <xdr:row>0</xdr:row>
      <xdr:rowOff>134471</xdr:rowOff>
    </xdr:from>
    <xdr:to>
      <xdr:col>21</xdr:col>
      <xdr:colOff>20360</xdr:colOff>
      <xdr:row>3</xdr:row>
      <xdr:rowOff>11479</xdr:rowOff>
    </xdr:to>
    <xdr:sp macro="" textlink="">
      <xdr:nvSpPr>
        <xdr:cNvPr id="16" name="Rectangle: Rounded Corners 15">
          <a:extLst>
            <a:ext uri="{FF2B5EF4-FFF2-40B4-BE49-F238E27FC236}">
              <a16:creationId xmlns:a16="http://schemas.microsoft.com/office/drawing/2014/main" id="{FBA1CA77-364A-426F-B0BE-232AC45B09D5}"/>
            </a:ext>
          </a:extLst>
        </xdr:cNvPr>
        <xdr:cNvSpPr/>
      </xdr:nvSpPr>
      <xdr:spPr>
        <a:xfrm>
          <a:off x="11204208" y="134471"/>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Orders</a:t>
          </a:r>
        </a:p>
      </xdr:txBody>
    </xdr:sp>
    <xdr:clientData/>
  </xdr:twoCellAnchor>
  <xdr:twoCellAnchor>
    <xdr:from>
      <xdr:col>24</xdr:col>
      <xdr:colOff>390907</xdr:colOff>
      <xdr:row>0</xdr:row>
      <xdr:rowOff>134471</xdr:rowOff>
    </xdr:from>
    <xdr:to>
      <xdr:col>27</xdr:col>
      <xdr:colOff>27459</xdr:colOff>
      <xdr:row>3</xdr:row>
      <xdr:rowOff>11479</xdr:rowOff>
    </xdr:to>
    <xdr:sp macro="" textlink="">
      <xdr:nvSpPr>
        <xdr:cNvPr id="17" name="Rectangle: Rounded Corners 16">
          <a:extLst>
            <a:ext uri="{FF2B5EF4-FFF2-40B4-BE49-F238E27FC236}">
              <a16:creationId xmlns:a16="http://schemas.microsoft.com/office/drawing/2014/main" id="{78AF03BF-45A6-46C2-B37A-CFB6CEEB5E09}"/>
            </a:ext>
          </a:extLst>
        </xdr:cNvPr>
        <xdr:cNvSpPr/>
      </xdr:nvSpPr>
      <xdr:spPr>
        <a:xfrm>
          <a:off x="14868907" y="134471"/>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Margin</a:t>
          </a:r>
        </a:p>
      </xdr:txBody>
    </xdr:sp>
    <xdr:clientData/>
  </xdr:twoCellAnchor>
  <xdr:twoCellAnchor editAs="oneCell">
    <xdr:from>
      <xdr:col>16</xdr:col>
      <xdr:colOff>494386</xdr:colOff>
      <xdr:row>0</xdr:row>
      <xdr:rowOff>65691</xdr:rowOff>
    </xdr:from>
    <xdr:to>
      <xdr:col>17</xdr:col>
      <xdr:colOff>319214</xdr:colOff>
      <xdr:row>3</xdr:row>
      <xdr:rowOff>10950</xdr:rowOff>
    </xdr:to>
    <xdr:pic>
      <xdr:nvPicPr>
        <xdr:cNvPr id="21" name="Picture 20">
          <a:extLst>
            <a:ext uri="{FF2B5EF4-FFF2-40B4-BE49-F238E27FC236}">
              <a16:creationId xmlns:a16="http://schemas.microsoft.com/office/drawing/2014/main" id="{AFFD73A1-E35E-46C4-932D-466DE47DD848}"/>
            </a:ext>
          </a:extLst>
        </xdr:cNvPr>
        <xdr:cNvPicPr>
          <a:picLocks noChangeAspect="1"/>
        </xdr:cNvPicPr>
      </xdr:nvPicPr>
      <xdr:blipFill>
        <a:blip xmlns:r="http://schemas.openxmlformats.org/officeDocument/2006/relationships" r:embed="rId6" cstate="print">
          <a:biLevel thresh="75000"/>
          <a:extLst>
            <a:ext uri="{28A0092B-C50C-407E-A947-70E740481C1C}">
              <a14:useLocalDpi xmlns:a14="http://schemas.microsoft.com/office/drawing/2010/main" val="0"/>
            </a:ext>
          </a:extLst>
        </a:blip>
        <a:stretch>
          <a:fillRect/>
        </a:stretch>
      </xdr:blipFill>
      <xdr:spPr>
        <a:xfrm>
          <a:off x="10095586" y="65691"/>
          <a:ext cx="434428" cy="431034"/>
        </a:xfrm>
        <a:prstGeom prst="rect">
          <a:avLst/>
        </a:prstGeom>
      </xdr:spPr>
    </xdr:pic>
    <xdr:clientData/>
  </xdr:twoCellAnchor>
  <xdr:twoCellAnchor editAs="oneCell">
    <xdr:from>
      <xdr:col>22</xdr:col>
      <xdr:colOff>356656</xdr:colOff>
      <xdr:row>0</xdr:row>
      <xdr:rowOff>11206</xdr:rowOff>
    </xdr:from>
    <xdr:to>
      <xdr:col>23</xdr:col>
      <xdr:colOff>247174</xdr:colOff>
      <xdr:row>3</xdr:row>
      <xdr:rowOff>22155</xdr:rowOff>
    </xdr:to>
    <xdr:pic>
      <xdr:nvPicPr>
        <xdr:cNvPr id="22" name="Picture 21">
          <a:extLst>
            <a:ext uri="{FF2B5EF4-FFF2-40B4-BE49-F238E27FC236}">
              <a16:creationId xmlns:a16="http://schemas.microsoft.com/office/drawing/2014/main" id="{C6F09D54-007A-4A65-A9DA-82D4909989F3}"/>
            </a:ext>
          </a:extLst>
        </xdr:cNvPr>
        <xdr:cNvPicPr>
          <a:picLocks noChangeAspect="1"/>
        </xdr:cNvPicPr>
      </xdr:nvPicPr>
      <xdr:blipFill>
        <a:blip xmlns:r="http://schemas.openxmlformats.org/officeDocument/2006/relationships" r:embed="rId7"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13615456" y="11206"/>
          <a:ext cx="500118" cy="496724"/>
        </a:xfrm>
        <a:prstGeom prst="rect">
          <a:avLst/>
        </a:prstGeom>
      </xdr:spPr>
    </xdr:pic>
    <xdr:clientData/>
  </xdr:twoCellAnchor>
  <xdr:twoCellAnchor editAs="oneCell">
    <xdr:from>
      <xdr:col>29</xdr:col>
      <xdr:colOff>7987</xdr:colOff>
      <xdr:row>0</xdr:row>
      <xdr:rowOff>109225</xdr:rowOff>
    </xdr:from>
    <xdr:to>
      <xdr:col>29</xdr:col>
      <xdr:colOff>405085</xdr:colOff>
      <xdr:row>3</xdr:row>
      <xdr:rowOff>21638</xdr:rowOff>
    </xdr:to>
    <xdr:pic>
      <xdr:nvPicPr>
        <xdr:cNvPr id="23" name="Picture 22">
          <a:extLst>
            <a:ext uri="{FF2B5EF4-FFF2-40B4-BE49-F238E27FC236}">
              <a16:creationId xmlns:a16="http://schemas.microsoft.com/office/drawing/2014/main" id="{4358DD12-AC58-4338-B5D1-0ADC09B2974D}"/>
            </a:ext>
          </a:extLst>
        </xdr:cNvPr>
        <xdr:cNvPicPr>
          <a:picLocks noChangeAspect="1"/>
        </xdr:cNvPicPr>
      </xdr:nvPicPr>
      <xdr:blipFill>
        <a:blip xmlns:r="http://schemas.openxmlformats.org/officeDocument/2006/relationships" r:embed="rId8" cstate="print">
          <a:duotone>
            <a:schemeClr val="accent4">
              <a:shade val="45000"/>
              <a:satMod val="135000"/>
            </a:schemeClr>
            <a:prstClr val="white"/>
          </a:duotone>
          <a:extLst>
            <a:ext uri="{BEBA8EAE-BF5A-486C-A8C5-ECC9F3942E4B}">
              <a14:imgProps xmlns:a14="http://schemas.microsoft.com/office/drawing/2010/main">
                <a14:imgLayer r:embed="rId9">
                  <a14:imgEffect>
                    <a14:saturation sat="400000"/>
                  </a14:imgEffect>
                </a14:imgLayer>
              </a14:imgProps>
            </a:ext>
            <a:ext uri="{28A0092B-C50C-407E-A947-70E740481C1C}">
              <a14:useLocalDpi xmlns:a14="http://schemas.microsoft.com/office/drawing/2010/main" val="0"/>
            </a:ext>
          </a:extLst>
        </a:blip>
        <a:stretch>
          <a:fillRect/>
        </a:stretch>
      </xdr:blipFill>
      <xdr:spPr>
        <a:xfrm>
          <a:off x="17533987" y="109225"/>
          <a:ext cx="397098" cy="398188"/>
        </a:xfrm>
        <a:prstGeom prst="rect">
          <a:avLst/>
        </a:prstGeom>
        <a:solidFill>
          <a:schemeClr val="tx2">
            <a:lumMod val="50000"/>
          </a:schemeClr>
        </a:solidFill>
      </xdr:spPr>
    </xdr:pic>
    <xdr:clientData/>
  </xdr:twoCellAnchor>
  <xdr:twoCellAnchor>
    <xdr:from>
      <xdr:col>38</xdr:col>
      <xdr:colOff>394752</xdr:colOff>
      <xdr:row>8</xdr:row>
      <xdr:rowOff>92262</xdr:rowOff>
    </xdr:from>
    <xdr:to>
      <xdr:col>38</xdr:col>
      <xdr:colOff>440471</xdr:colOff>
      <xdr:row>9</xdr:row>
      <xdr:rowOff>6836</xdr:rowOff>
    </xdr:to>
    <xdr:sp macro="" textlink="">
      <xdr:nvSpPr>
        <xdr:cNvPr id="24" name="Text Box 1">
          <a:extLst>
            <a:ext uri="{FF2B5EF4-FFF2-40B4-BE49-F238E27FC236}">
              <a16:creationId xmlns:a16="http://schemas.microsoft.com/office/drawing/2014/main" id="{4EFBB7BF-09CD-4A42-8D85-090CAAD607A3}"/>
            </a:ext>
          </a:extLst>
        </xdr:cNvPr>
        <xdr:cNvSpPr txBox="1">
          <a:spLocks noChangeArrowheads="1"/>
        </xdr:cNvSpPr>
      </xdr:nvSpPr>
      <xdr:spPr bwMode="auto">
        <a:xfrm rot="5926320" flipH="1" flipV="1">
          <a:off x="23391762" y="1488777"/>
          <a:ext cx="76499" cy="45719"/>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endParaRPr lang="en-US" sz="1000" b="0" i="0" u="none" strike="noStrike" baseline="0">
            <a:solidFill>
              <a:srgbClr val="000000"/>
            </a:solidFill>
            <a:latin typeface="MS Sans Serif"/>
          </a:endParaRPr>
        </a:p>
      </xdr:txBody>
    </xdr:sp>
    <xdr:clientData/>
  </xdr:twoCellAnchor>
  <xdr:twoCellAnchor>
    <xdr:from>
      <xdr:col>29</xdr:col>
      <xdr:colOff>308963</xdr:colOff>
      <xdr:row>3</xdr:row>
      <xdr:rowOff>190500</xdr:rowOff>
    </xdr:from>
    <xdr:to>
      <xdr:col>30</xdr:col>
      <xdr:colOff>308964</xdr:colOff>
      <xdr:row>16</xdr:row>
      <xdr:rowOff>145928</xdr:rowOff>
    </xdr:to>
    <xdr:sp macro="" textlink="">
      <xdr:nvSpPr>
        <xdr:cNvPr id="28" name="Rectangle: Rounded Corners 27">
          <a:hlinkClick xmlns:r="http://schemas.openxmlformats.org/officeDocument/2006/relationships" r:id="rId10"/>
          <a:extLst>
            <a:ext uri="{FF2B5EF4-FFF2-40B4-BE49-F238E27FC236}">
              <a16:creationId xmlns:a16="http://schemas.microsoft.com/office/drawing/2014/main" id="{E8C5319C-BFFA-443D-A9CA-C301D1A9CFD3}"/>
            </a:ext>
          </a:extLst>
        </xdr:cNvPr>
        <xdr:cNvSpPr/>
      </xdr:nvSpPr>
      <xdr:spPr>
        <a:xfrm>
          <a:off x="17902999" y="680357"/>
          <a:ext cx="612322" cy="2159785"/>
        </a:xfrm>
        <a:prstGeom prst="roundRect">
          <a:avLst/>
        </a:prstGeom>
        <a:solidFill>
          <a:schemeClr val="accent1"/>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600"/>
            <a:t>REPORT1</a:t>
          </a:r>
        </a:p>
      </xdr:txBody>
    </xdr:sp>
    <xdr:clientData/>
  </xdr:twoCellAnchor>
  <xdr:twoCellAnchor>
    <xdr:from>
      <xdr:col>29</xdr:col>
      <xdr:colOff>306562</xdr:colOff>
      <xdr:row>17</xdr:row>
      <xdr:rowOff>16399</xdr:rowOff>
    </xdr:from>
    <xdr:to>
      <xdr:col>30</xdr:col>
      <xdr:colOff>306563</xdr:colOff>
      <xdr:row>29</xdr:row>
      <xdr:rowOff>145930</xdr:rowOff>
    </xdr:to>
    <xdr:sp macro="" textlink="">
      <xdr:nvSpPr>
        <xdr:cNvPr id="29" name="Rectangle: Rounded Corners 28">
          <a:hlinkClick xmlns:r="http://schemas.openxmlformats.org/officeDocument/2006/relationships" r:id="rId11"/>
          <a:extLst>
            <a:ext uri="{FF2B5EF4-FFF2-40B4-BE49-F238E27FC236}">
              <a16:creationId xmlns:a16="http://schemas.microsoft.com/office/drawing/2014/main" id="{82CE4891-2A8A-4E70-BDBA-6EED5CA0DBEC}"/>
            </a:ext>
          </a:extLst>
        </xdr:cNvPr>
        <xdr:cNvSpPr/>
      </xdr:nvSpPr>
      <xdr:spPr>
        <a:xfrm>
          <a:off x="17900598" y="2873899"/>
          <a:ext cx="612322" cy="20889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200" b="1">
              <a:solidFill>
                <a:schemeClr val="tx1"/>
              </a:solidFill>
            </a:rPr>
            <a:t>REPORT</a:t>
          </a:r>
          <a:r>
            <a:rPr lang="en-US" sz="3200"/>
            <a:t> </a:t>
          </a:r>
          <a:r>
            <a:rPr lang="en-US" sz="3200" b="1">
              <a:solidFill>
                <a:schemeClr val="tx1"/>
              </a:solidFill>
            </a:rPr>
            <a:t>2</a:t>
          </a:r>
        </a:p>
      </xdr:txBody>
    </xdr:sp>
    <xdr:clientData/>
  </xdr:twoCellAnchor>
  <xdr:twoCellAnchor>
    <xdr:from>
      <xdr:col>29</xdr:col>
      <xdr:colOff>308963</xdr:colOff>
      <xdr:row>30</xdr:row>
      <xdr:rowOff>6515</xdr:rowOff>
    </xdr:from>
    <xdr:to>
      <xdr:col>30</xdr:col>
      <xdr:colOff>308964</xdr:colOff>
      <xdr:row>43</xdr:row>
      <xdr:rowOff>19572</xdr:rowOff>
    </xdr:to>
    <xdr:sp macro="" textlink="">
      <xdr:nvSpPr>
        <xdr:cNvPr id="30" name="Rectangle: Rounded Corners 29">
          <a:hlinkClick xmlns:r="http://schemas.openxmlformats.org/officeDocument/2006/relationships" r:id="rId12"/>
          <a:extLst>
            <a:ext uri="{FF2B5EF4-FFF2-40B4-BE49-F238E27FC236}">
              <a16:creationId xmlns:a16="http://schemas.microsoft.com/office/drawing/2014/main" id="{8235FB15-FCC4-4CDF-BF2B-6663138690AD}"/>
            </a:ext>
          </a:extLst>
        </xdr:cNvPr>
        <xdr:cNvSpPr/>
      </xdr:nvSpPr>
      <xdr:spPr>
        <a:xfrm>
          <a:off x="17902999" y="4986729"/>
          <a:ext cx="612322" cy="2135772"/>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200"/>
            <a:t>REPORT 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364751</xdr:colOff>
      <xdr:row>3</xdr:row>
      <xdr:rowOff>149680</xdr:rowOff>
    </xdr:from>
    <xdr:to>
      <xdr:col>14</xdr:col>
      <xdr:colOff>593911</xdr:colOff>
      <xdr:row>27</xdr:row>
      <xdr:rowOff>0</xdr:rowOff>
    </xdr:to>
    <xdr:graphicFrame macro="">
      <xdr:nvGraphicFramePr>
        <xdr:cNvPr id="5" name="Chart 4">
          <a:extLst>
            <a:ext uri="{FF2B5EF4-FFF2-40B4-BE49-F238E27FC236}">
              <a16:creationId xmlns:a16="http://schemas.microsoft.com/office/drawing/2014/main" id="{1C473C4D-76E9-486D-A058-510FA1ADD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242729</xdr:colOff>
      <xdr:row>3</xdr:row>
      <xdr:rowOff>152168</xdr:rowOff>
    </xdr:from>
    <xdr:to>
      <xdr:col>29</xdr:col>
      <xdr:colOff>306577</xdr:colOff>
      <xdr:row>17</xdr:row>
      <xdr:rowOff>22412</xdr:rowOff>
    </xdr:to>
    <mc:AlternateContent xmlns:mc="http://schemas.openxmlformats.org/markup-compatibility/2006" xmlns:a14="http://schemas.microsoft.com/office/drawing/2010/main">
      <mc:Choice Requires="a14">
        <xdr:graphicFrame macro="">
          <xdr:nvGraphicFramePr>
            <xdr:cNvPr id="10" name="Ship Mode 5">
              <a:extLst>
                <a:ext uri="{FF2B5EF4-FFF2-40B4-BE49-F238E27FC236}">
                  <a16:creationId xmlns:a16="http://schemas.microsoft.com/office/drawing/2014/main" id="{CB32AEAF-AE61-441D-9640-474EFC8EE5B3}"/>
                </a:ext>
              </a:extLst>
            </xdr:cNvPr>
            <xdr:cNvGraphicFramePr/>
          </xdr:nvGraphicFramePr>
          <xdr:xfrm>
            <a:off x="0" y="0"/>
            <a:ext cx="0" cy="0"/>
          </xdr:xfrm>
          <a:graphic>
            <a:graphicData uri="http://schemas.microsoft.com/office/drawing/2010/slicer">
              <sle:slicer xmlns:sle="http://schemas.microsoft.com/office/drawing/2010/slicer" name="Ship Mode 5"/>
            </a:graphicData>
          </a:graphic>
        </xdr:graphicFrame>
      </mc:Choice>
      <mc:Fallback xmlns="">
        <xdr:sp macro="" textlink="">
          <xdr:nvSpPr>
            <xdr:cNvPr id="0" name=""/>
            <xdr:cNvSpPr>
              <a:spLocks noTextEdit="1"/>
            </xdr:cNvSpPr>
          </xdr:nvSpPr>
          <xdr:spPr>
            <a:xfrm>
              <a:off x="15830111" y="622815"/>
              <a:ext cx="1879201" cy="2156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245771</xdr:colOff>
      <xdr:row>17</xdr:row>
      <xdr:rowOff>22412</xdr:rowOff>
    </xdr:from>
    <xdr:to>
      <xdr:col>29</xdr:col>
      <xdr:colOff>309619</xdr:colOff>
      <xdr:row>30</xdr:row>
      <xdr:rowOff>54429</xdr:rowOff>
    </xdr:to>
    <mc:AlternateContent xmlns:mc="http://schemas.openxmlformats.org/markup-compatibility/2006" xmlns:a14="http://schemas.microsoft.com/office/drawing/2010/main">
      <mc:Choice Requires="a14">
        <xdr:graphicFrame macro="">
          <xdr:nvGraphicFramePr>
            <xdr:cNvPr id="11" name="Region 5">
              <a:extLst>
                <a:ext uri="{FF2B5EF4-FFF2-40B4-BE49-F238E27FC236}">
                  <a16:creationId xmlns:a16="http://schemas.microsoft.com/office/drawing/2014/main" id="{D8B7C3CE-1516-4562-B22F-EFFF7C7764CA}"/>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5833153" y="2779059"/>
              <a:ext cx="1879201" cy="2071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242729</xdr:colOff>
      <xdr:row>30</xdr:row>
      <xdr:rowOff>66543</xdr:rowOff>
    </xdr:from>
    <xdr:to>
      <xdr:col>29</xdr:col>
      <xdr:colOff>306577</xdr:colOff>
      <xdr:row>43</xdr:row>
      <xdr:rowOff>55339</xdr:rowOff>
    </xdr:to>
    <mc:AlternateContent xmlns:mc="http://schemas.openxmlformats.org/markup-compatibility/2006" xmlns:a14="http://schemas.microsoft.com/office/drawing/2010/main">
      <mc:Choice Requires="a14">
        <xdr:graphicFrame macro="">
          <xdr:nvGraphicFramePr>
            <xdr:cNvPr id="12" name="Category 5">
              <a:extLst>
                <a:ext uri="{FF2B5EF4-FFF2-40B4-BE49-F238E27FC236}">
                  <a16:creationId xmlns:a16="http://schemas.microsoft.com/office/drawing/2014/main" id="{17387AD1-59F3-4242-B6EE-4EB05018E85B}"/>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5830111" y="4862661"/>
              <a:ext cx="1879201" cy="20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392023</xdr:colOff>
      <xdr:row>0</xdr:row>
      <xdr:rowOff>122992</xdr:rowOff>
    </xdr:from>
    <xdr:to>
      <xdr:col>9</xdr:col>
      <xdr:colOff>28575</xdr:colOff>
      <xdr:row>3</xdr:row>
      <xdr:rowOff>0</xdr:rowOff>
    </xdr:to>
    <xdr:sp macro="" textlink="">
      <xdr:nvSpPr>
        <xdr:cNvPr id="13" name="Rectangle: Rounded Corners 12">
          <a:extLst>
            <a:ext uri="{FF2B5EF4-FFF2-40B4-BE49-F238E27FC236}">
              <a16:creationId xmlns:a16="http://schemas.microsoft.com/office/drawing/2014/main" id="{BBD25D99-89B5-4E92-8D98-76DCF6819182}"/>
            </a:ext>
          </a:extLst>
        </xdr:cNvPr>
        <xdr:cNvSpPr/>
      </xdr:nvSpPr>
      <xdr:spPr>
        <a:xfrm>
          <a:off x="3878173" y="122992"/>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xdr:txBody>
    </xdr:sp>
    <xdr:clientData/>
  </xdr:twoCellAnchor>
  <xdr:twoCellAnchor editAs="oneCell">
    <xdr:from>
      <xdr:col>10</xdr:col>
      <xdr:colOff>569323</xdr:colOff>
      <xdr:row>0</xdr:row>
      <xdr:rowOff>89495</xdr:rowOff>
    </xdr:from>
    <xdr:to>
      <xdr:col>11</xdr:col>
      <xdr:colOff>429117</xdr:colOff>
      <xdr:row>3</xdr:row>
      <xdr:rowOff>1</xdr:rowOff>
    </xdr:to>
    <xdr:pic>
      <xdr:nvPicPr>
        <xdr:cNvPr id="14" name="Picture 13">
          <a:extLst>
            <a:ext uri="{FF2B5EF4-FFF2-40B4-BE49-F238E27FC236}">
              <a16:creationId xmlns:a16="http://schemas.microsoft.com/office/drawing/2014/main" id="{4B0D98D5-CD10-4C40-A7CE-BD58A8D5A070}"/>
            </a:ext>
          </a:extLst>
        </xdr:cNvPr>
        <xdr:cNvPicPr>
          <a:picLocks noChangeAspect="1"/>
        </xdr:cNvPicPr>
      </xdr:nvPicPr>
      <xdr:blipFill>
        <a:blip xmlns:r="http://schemas.openxmlformats.org/officeDocument/2006/relationships" r:embed="rId2" cstate="print">
          <a:biLevel thresh="75000"/>
          <a:extLst>
            <a:ext uri="{BEBA8EAE-BF5A-486C-A8C5-ECC9F3942E4B}">
              <a14:imgProps xmlns:a14="http://schemas.microsoft.com/office/drawing/2010/main">
                <a14:imgLayer r:embed="rId3">
                  <a14:imgEffect>
                    <a14:saturation sat="33000"/>
                  </a14:imgEffect>
                </a14:imgLayer>
              </a14:imgProps>
            </a:ext>
            <a:ext uri="{28A0092B-C50C-407E-A947-70E740481C1C}">
              <a14:useLocalDpi xmlns:a14="http://schemas.microsoft.com/office/drawing/2010/main" val="0"/>
            </a:ext>
          </a:extLst>
        </a:blip>
        <a:stretch>
          <a:fillRect/>
        </a:stretch>
      </xdr:blipFill>
      <xdr:spPr>
        <a:xfrm>
          <a:off x="6493873" y="89495"/>
          <a:ext cx="488444" cy="396281"/>
        </a:xfrm>
        <a:prstGeom prst="rect">
          <a:avLst/>
        </a:prstGeom>
      </xdr:spPr>
    </xdr:pic>
    <xdr:clientData/>
  </xdr:twoCellAnchor>
  <xdr:twoCellAnchor>
    <xdr:from>
      <xdr:col>12</xdr:col>
      <xdr:colOff>376710</xdr:colOff>
      <xdr:row>0</xdr:row>
      <xdr:rowOff>134471</xdr:rowOff>
    </xdr:from>
    <xdr:to>
      <xdr:col>15</xdr:col>
      <xdr:colOff>13262</xdr:colOff>
      <xdr:row>3</xdr:row>
      <xdr:rowOff>11479</xdr:rowOff>
    </xdr:to>
    <xdr:sp macro="" textlink="">
      <xdr:nvSpPr>
        <xdr:cNvPr id="15" name="Rectangle: Rounded Corners 14">
          <a:extLst>
            <a:ext uri="{FF2B5EF4-FFF2-40B4-BE49-F238E27FC236}">
              <a16:creationId xmlns:a16="http://schemas.microsoft.com/office/drawing/2014/main" id="{17F11F3C-41FF-44E8-8843-046E73638B86}"/>
            </a:ext>
          </a:extLst>
        </xdr:cNvPr>
        <xdr:cNvSpPr/>
      </xdr:nvSpPr>
      <xdr:spPr>
        <a:xfrm>
          <a:off x="7539510" y="134471"/>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a:solidFill>
                <a:schemeClr val="bg1"/>
              </a:solidFill>
            </a:rPr>
            <a:t>Total Profit</a:t>
          </a:r>
        </a:p>
      </xdr:txBody>
    </xdr:sp>
    <xdr:clientData/>
  </xdr:twoCellAnchor>
  <xdr:twoCellAnchor>
    <xdr:from>
      <xdr:col>18</xdr:col>
      <xdr:colOff>383808</xdr:colOff>
      <xdr:row>0</xdr:row>
      <xdr:rowOff>134471</xdr:rowOff>
    </xdr:from>
    <xdr:to>
      <xdr:col>21</xdr:col>
      <xdr:colOff>20360</xdr:colOff>
      <xdr:row>3</xdr:row>
      <xdr:rowOff>11479</xdr:rowOff>
    </xdr:to>
    <xdr:sp macro="" textlink="">
      <xdr:nvSpPr>
        <xdr:cNvPr id="16" name="Rectangle: Rounded Corners 15">
          <a:extLst>
            <a:ext uri="{FF2B5EF4-FFF2-40B4-BE49-F238E27FC236}">
              <a16:creationId xmlns:a16="http://schemas.microsoft.com/office/drawing/2014/main" id="{69B7C088-03FB-4856-B04D-E7B0ACD94244}"/>
            </a:ext>
          </a:extLst>
        </xdr:cNvPr>
        <xdr:cNvSpPr/>
      </xdr:nvSpPr>
      <xdr:spPr>
        <a:xfrm>
          <a:off x="11204208" y="134471"/>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Orders</a:t>
          </a:r>
        </a:p>
      </xdr:txBody>
    </xdr:sp>
    <xdr:clientData/>
  </xdr:twoCellAnchor>
  <xdr:twoCellAnchor>
    <xdr:from>
      <xdr:col>24</xdr:col>
      <xdr:colOff>390907</xdr:colOff>
      <xdr:row>0</xdr:row>
      <xdr:rowOff>134471</xdr:rowOff>
    </xdr:from>
    <xdr:to>
      <xdr:col>27</xdr:col>
      <xdr:colOff>27459</xdr:colOff>
      <xdr:row>3</xdr:row>
      <xdr:rowOff>11479</xdr:rowOff>
    </xdr:to>
    <xdr:sp macro="" textlink="">
      <xdr:nvSpPr>
        <xdr:cNvPr id="17" name="Rectangle: Rounded Corners 16">
          <a:extLst>
            <a:ext uri="{FF2B5EF4-FFF2-40B4-BE49-F238E27FC236}">
              <a16:creationId xmlns:a16="http://schemas.microsoft.com/office/drawing/2014/main" id="{5C5DF61E-1346-41DB-8D73-A2D3C6E0334F}"/>
            </a:ext>
          </a:extLst>
        </xdr:cNvPr>
        <xdr:cNvSpPr/>
      </xdr:nvSpPr>
      <xdr:spPr>
        <a:xfrm>
          <a:off x="14868907" y="134471"/>
          <a:ext cx="1465352" cy="362783"/>
        </a:xfrm>
        <a:prstGeom prst="roundRect">
          <a:avLst/>
        </a:prstGeom>
        <a:solidFill>
          <a:schemeClr val="accent1"/>
        </a:solidFill>
        <a:ln>
          <a:noFill/>
        </a:ln>
        <a:effectLst>
          <a:glow rad="139700">
            <a:schemeClr val="accent4">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Margin</a:t>
          </a:r>
        </a:p>
      </xdr:txBody>
    </xdr:sp>
    <xdr:clientData/>
  </xdr:twoCellAnchor>
  <xdr:twoCellAnchor editAs="oneCell">
    <xdr:from>
      <xdr:col>16</xdr:col>
      <xdr:colOff>494386</xdr:colOff>
      <xdr:row>0</xdr:row>
      <xdr:rowOff>65691</xdr:rowOff>
    </xdr:from>
    <xdr:to>
      <xdr:col>17</xdr:col>
      <xdr:colOff>319214</xdr:colOff>
      <xdr:row>3</xdr:row>
      <xdr:rowOff>10950</xdr:rowOff>
    </xdr:to>
    <xdr:pic>
      <xdr:nvPicPr>
        <xdr:cNvPr id="21" name="Picture 20">
          <a:extLst>
            <a:ext uri="{FF2B5EF4-FFF2-40B4-BE49-F238E27FC236}">
              <a16:creationId xmlns:a16="http://schemas.microsoft.com/office/drawing/2014/main" id="{2BBDD607-D1A6-41BF-964F-3DA84A3DE66E}"/>
            </a:ext>
          </a:extLst>
        </xdr:cNvPr>
        <xdr:cNvPicPr>
          <a:picLocks noChangeAspect="1"/>
        </xdr:cNvPicPr>
      </xdr:nvPicPr>
      <xdr:blipFill>
        <a:blip xmlns:r="http://schemas.openxmlformats.org/officeDocument/2006/relationships" r:embed="rId4" cstate="print">
          <a:biLevel thresh="75000"/>
          <a:extLst>
            <a:ext uri="{28A0092B-C50C-407E-A947-70E740481C1C}">
              <a14:useLocalDpi xmlns:a14="http://schemas.microsoft.com/office/drawing/2010/main" val="0"/>
            </a:ext>
          </a:extLst>
        </a:blip>
        <a:stretch>
          <a:fillRect/>
        </a:stretch>
      </xdr:blipFill>
      <xdr:spPr>
        <a:xfrm>
          <a:off x="10095586" y="65691"/>
          <a:ext cx="434428" cy="431034"/>
        </a:xfrm>
        <a:prstGeom prst="rect">
          <a:avLst/>
        </a:prstGeom>
      </xdr:spPr>
    </xdr:pic>
    <xdr:clientData/>
  </xdr:twoCellAnchor>
  <xdr:twoCellAnchor editAs="oneCell">
    <xdr:from>
      <xdr:col>22</xdr:col>
      <xdr:colOff>356656</xdr:colOff>
      <xdr:row>0</xdr:row>
      <xdr:rowOff>11206</xdr:rowOff>
    </xdr:from>
    <xdr:to>
      <xdr:col>23</xdr:col>
      <xdr:colOff>247174</xdr:colOff>
      <xdr:row>3</xdr:row>
      <xdr:rowOff>22155</xdr:rowOff>
    </xdr:to>
    <xdr:pic>
      <xdr:nvPicPr>
        <xdr:cNvPr id="22" name="Picture 21">
          <a:extLst>
            <a:ext uri="{FF2B5EF4-FFF2-40B4-BE49-F238E27FC236}">
              <a16:creationId xmlns:a16="http://schemas.microsoft.com/office/drawing/2014/main" id="{BF81EAD4-1E6D-44F1-949D-68D94732A79D}"/>
            </a:ext>
          </a:extLst>
        </xdr:cNvPr>
        <xdr:cNvPicPr>
          <a:picLocks noChangeAspect="1"/>
        </xdr:cNvPicPr>
      </xdr:nvPicPr>
      <xdr:blipFill>
        <a:blip xmlns:r="http://schemas.openxmlformats.org/officeDocument/2006/relationships" r:embed="rId5"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13615456" y="11206"/>
          <a:ext cx="500118" cy="496724"/>
        </a:xfrm>
        <a:prstGeom prst="rect">
          <a:avLst/>
        </a:prstGeom>
      </xdr:spPr>
    </xdr:pic>
    <xdr:clientData/>
  </xdr:twoCellAnchor>
  <xdr:twoCellAnchor editAs="oneCell">
    <xdr:from>
      <xdr:col>29</xdr:col>
      <xdr:colOff>7987</xdr:colOff>
      <xdr:row>0</xdr:row>
      <xdr:rowOff>109225</xdr:rowOff>
    </xdr:from>
    <xdr:to>
      <xdr:col>29</xdr:col>
      <xdr:colOff>405085</xdr:colOff>
      <xdr:row>3</xdr:row>
      <xdr:rowOff>21638</xdr:rowOff>
    </xdr:to>
    <xdr:pic>
      <xdr:nvPicPr>
        <xdr:cNvPr id="23" name="Picture 22">
          <a:extLst>
            <a:ext uri="{FF2B5EF4-FFF2-40B4-BE49-F238E27FC236}">
              <a16:creationId xmlns:a16="http://schemas.microsoft.com/office/drawing/2014/main" id="{F851258E-5B99-48EF-AB05-F85CBFFE9DFA}"/>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BEBA8EAE-BF5A-486C-A8C5-ECC9F3942E4B}">
              <a14:imgProps xmlns:a14="http://schemas.microsoft.com/office/drawing/2010/main">
                <a14:imgLayer r:embed="rId7">
                  <a14:imgEffect>
                    <a14:saturation sat="400000"/>
                  </a14:imgEffect>
                </a14:imgLayer>
              </a14:imgProps>
            </a:ext>
            <a:ext uri="{28A0092B-C50C-407E-A947-70E740481C1C}">
              <a14:useLocalDpi xmlns:a14="http://schemas.microsoft.com/office/drawing/2010/main" val="0"/>
            </a:ext>
          </a:extLst>
        </a:blip>
        <a:stretch>
          <a:fillRect/>
        </a:stretch>
      </xdr:blipFill>
      <xdr:spPr>
        <a:xfrm>
          <a:off x="17533987" y="109225"/>
          <a:ext cx="397098" cy="398188"/>
        </a:xfrm>
        <a:prstGeom prst="rect">
          <a:avLst/>
        </a:prstGeom>
        <a:solidFill>
          <a:schemeClr val="tx2">
            <a:lumMod val="50000"/>
          </a:schemeClr>
        </a:solidFill>
      </xdr:spPr>
    </xdr:pic>
    <xdr:clientData/>
  </xdr:twoCellAnchor>
  <xdr:twoCellAnchor>
    <xdr:from>
      <xdr:col>38</xdr:col>
      <xdr:colOff>394752</xdr:colOff>
      <xdr:row>8</xdr:row>
      <xdr:rowOff>92262</xdr:rowOff>
    </xdr:from>
    <xdr:to>
      <xdr:col>38</xdr:col>
      <xdr:colOff>440471</xdr:colOff>
      <xdr:row>9</xdr:row>
      <xdr:rowOff>6836</xdr:rowOff>
    </xdr:to>
    <xdr:sp macro="" textlink="">
      <xdr:nvSpPr>
        <xdr:cNvPr id="24" name="Text Box 1">
          <a:extLst>
            <a:ext uri="{FF2B5EF4-FFF2-40B4-BE49-F238E27FC236}">
              <a16:creationId xmlns:a16="http://schemas.microsoft.com/office/drawing/2014/main" id="{6F0CD7CD-D523-4484-9DC7-7E9D23ECDFCE}"/>
            </a:ext>
          </a:extLst>
        </xdr:cNvPr>
        <xdr:cNvSpPr txBox="1">
          <a:spLocks noChangeArrowheads="1"/>
        </xdr:cNvSpPr>
      </xdr:nvSpPr>
      <xdr:spPr bwMode="auto">
        <a:xfrm rot="5926320" flipH="1" flipV="1">
          <a:off x="23391762" y="1488777"/>
          <a:ext cx="76499" cy="45719"/>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endParaRPr lang="en-US" sz="1000" b="0" i="0" u="none" strike="noStrike" baseline="0">
            <a:solidFill>
              <a:srgbClr val="000000"/>
            </a:solidFill>
            <a:latin typeface="MS Sans Serif"/>
          </a:endParaRPr>
        </a:p>
      </xdr:txBody>
    </xdr:sp>
    <xdr:clientData/>
  </xdr:twoCellAnchor>
  <xdr:twoCellAnchor>
    <xdr:from>
      <xdr:col>29</xdr:col>
      <xdr:colOff>308963</xdr:colOff>
      <xdr:row>3</xdr:row>
      <xdr:rowOff>179294</xdr:rowOff>
    </xdr:from>
    <xdr:to>
      <xdr:col>30</xdr:col>
      <xdr:colOff>308964</xdr:colOff>
      <xdr:row>16</xdr:row>
      <xdr:rowOff>134722</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78E7D309-0476-443D-9E42-3FB4DE0A8576}"/>
            </a:ext>
          </a:extLst>
        </xdr:cNvPr>
        <xdr:cNvSpPr/>
      </xdr:nvSpPr>
      <xdr:spPr>
        <a:xfrm>
          <a:off x="17902999" y="669151"/>
          <a:ext cx="612322" cy="2159785"/>
        </a:xfrm>
        <a:prstGeom prst="roundRect">
          <a:avLst/>
        </a:prstGeom>
        <a:solidFill>
          <a:schemeClr val="accent1"/>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600"/>
            <a:t>REPORT1</a:t>
          </a:r>
        </a:p>
      </xdr:txBody>
    </xdr:sp>
    <xdr:clientData/>
  </xdr:twoCellAnchor>
  <xdr:twoCellAnchor>
    <xdr:from>
      <xdr:col>29</xdr:col>
      <xdr:colOff>306562</xdr:colOff>
      <xdr:row>17</xdr:row>
      <xdr:rowOff>5193</xdr:rowOff>
    </xdr:from>
    <xdr:to>
      <xdr:col>30</xdr:col>
      <xdr:colOff>306563</xdr:colOff>
      <xdr:row>29</xdr:row>
      <xdr:rowOff>134724</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3E6B6BB6-4C29-4FB1-8CD8-8095C46D5651}"/>
            </a:ext>
          </a:extLst>
        </xdr:cNvPr>
        <xdr:cNvSpPr/>
      </xdr:nvSpPr>
      <xdr:spPr>
        <a:xfrm>
          <a:off x="17900598" y="2862693"/>
          <a:ext cx="612322" cy="20889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200"/>
            <a:t>REPORT 2</a:t>
          </a:r>
        </a:p>
      </xdr:txBody>
    </xdr:sp>
    <xdr:clientData/>
  </xdr:twoCellAnchor>
  <xdr:twoCellAnchor>
    <xdr:from>
      <xdr:col>29</xdr:col>
      <xdr:colOff>308963</xdr:colOff>
      <xdr:row>30</xdr:row>
      <xdr:rowOff>2514</xdr:rowOff>
    </xdr:from>
    <xdr:to>
      <xdr:col>30</xdr:col>
      <xdr:colOff>308964</xdr:colOff>
      <xdr:row>43</xdr:row>
      <xdr:rowOff>21973</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35703AF0-1B3C-49BD-8AEE-96D2A3B1373F}"/>
            </a:ext>
          </a:extLst>
        </xdr:cNvPr>
        <xdr:cNvSpPr/>
      </xdr:nvSpPr>
      <xdr:spPr>
        <a:xfrm>
          <a:off x="17902999" y="4982728"/>
          <a:ext cx="612322" cy="214217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3200" b="1">
              <a:solidFill>
                <a:schemeClr val="tx1"/>
              </a:solidFill>
            </a:rPr>
            <a:t>REPORT</a:t>
          </a:r>
          <a:r>
            <a:rPr lang="en-US" sz="3200"/>
            <a:t> </a:t>
          </a:r>
          <a:r>
            <a:rPr lang="en-US" sz="3200" b="1">
              <a:solidFill>
                <a:schemeClr val="tx1"/>
              </a:solidFill>
            </a:rPr>
            <a:t>3</a:t>
          </a:r>
        </a:p>
      </xdr:txBody>
    </xdr:sp>
    <xdr:clientData/>
  </xdr:twoCellAnchor>
  <xdr:twoCellAnchor>
    <xdr:from>
      <xdr:col>15</xdr:col>
      <xdr:colOff>0</xdr:colOff>
      <xdr:row>3</xdr:row>
      <xdr:rowOff>145678</xdr:rowOff>
    </xdr:from>
    <xdr:to>
      <xdr:col>26</xdr:col>
      <xdr:colOff>243483</xdr:colOff>
      <xdr:row>43</xdr:row>
      <xdr:rowOff>44825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43AA2B34-84D7-4A34-A627-88F1F22C50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991600" y="631453"/>
              <a:ext cx="6949083" cy="64618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381000</xdr:colOff>
      <xdr:row>27</xdr:row>
      <xdr:rowOff>22412</xdr:rowOff>
    </xdr:from>
    <xdr:to>
      <xdr:col>14</xdr:col>
      <xdr:colOff>593910</xdr:colOff>
      <xdr:row>43</xdr:row>
      <xdr:rowOff>33619</xdr:rowOff>
    </xdr:to>
    <xdr:graphicFrame macro="">
      <xdr:nvGraphicFramePr>
        <xdr:cNvPr id="20" name="Chart 19">
          <a:extLst>
            <a:ext uri="{FF2B5EF4-FFF2-40B4-BE49-F238E27FC236}">
              <a16:creationId xmlns:a16="http://schemas.microsoft.com/office/drawing/2014/main" id="{D0425BA9-24DC-40A5-88A7-ABD123A24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6.39244664352" createdVersion="8" refreshedVersion="8" minRefreshableVersion="3" recordCount="1000" xr:uid="{85F23D6A-7466-49A8-AADA-503F8933B025}">
  <cacheSource type="worksheet">
    <worksheetSource ref="A1:O1001" sheet="range"/>
  </cacheSource>
  <cacheFields count="15">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acheField>
    <cacheField name="Ship Mode" numFmtId="0">
      <sharedItems/>
    </cacheField>
    <cacheField name="Customer Name" numFmtId="0">
      <sharedItems/>
    </cacheField>
    <cacheField name="City" numFmtId="0">
      <sharedItems/>
    </cacheField>
    <cacheField name="State" numFmtId="0">
      <sharedItems/>
    </cacheField>
    <cacheField name="Region"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083.506718865741" createdVersion="8" refreshedVersion="8" minRefreshableVersion="3" recordCount="1000" xr:uid="{205A4091-7BE6-4782-A814-19516F578B55}">
  <cacheSource type="worksheet">
    <worksheetSource name="orderds"/>
  </cacheSource>
  <cacheFields count="18">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ount="373">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sharedItems>
      <fieldGroup par="16"/>
    </cacheField>
    <cacheField name="Ship Mode" numFmtId="0">
      <sharedItems count="4">
        <s v="Second Class"/>
        <s v="Standard Class"/>
        <s v="First Class"/>
        <s v="Same Day"/>
      </sharedItems>
    </cacheField>
    <cacheField name="Customer Name" numFmtId="0">
      <sharedItems count="362">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 name="Quarters (Order Date)" numFmtId="0" databaseField="0">
      <fieldGroup base="2">
        <rangePr groupBy="quarters" startDate="2016-01-04T00:00:00" endDate="2019-12-31T00:00:00"/>
        <groupItems count="6">
          <s v="&lt;1/4/16"/>
          <s v="Qtr1"/>
          <s v="Qtr2"/>
          <s v="Qtr3"/>
          <s v="Qtr4"/>
          <s v="&gt;12/31/19"/>
        </groupItems>
      </fieldGroup>
    </cacheField>
    <cacheField name="Years (Order Date)" numFmtId="0" databaseField="0">
      <fieldGroup base="2">
        <rangePr groupBy="years" startDate="2016-01-04T00:00:00" endDate="2019-12-31T00:00:00"/>
        <groupItems count="6">
          <s v="&lt;1/4/16"/>
          <s v="2016"/>
          <s v="2017"/>
          <s v="2018"/>
          <s v="2019"/>
          <s v="&gt;12/31/19"/>
        </groupItems>
      </fieldGroup>
    </cacheField>
    <cacheField name="Margin" numFmtId="0" formula="Profit/Sales" databaseField="0"/>
  </cacheFields>
  <extLst>
    <ext xmlns:x14="http://schemas.microsoft.com/office/spreadsheetml/2009/9/main" uri="{725AE2AE-9491-48be-B2B4-4EB974FC3084}">
      <x14:pivotCacheDefinition pivotCacheId="1264409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d v="2018-11-08T00:00:00"/>
    <s v="Second Class"/>
    <s v="Claire Gute"/>
    <s v="Henderson"/>
    <s v="Kentucky"/>
    <s v="South"/>
    <s v="Furniture"/>
    <s v="Bookcases"/>
    <s v="Bush Somerset Collection Bookcase"/>
    <n v="261.95999999999998"/>
    <n v="2"/>
    <n v="0"/>
    <n v="41.913600000000002"/>
  </r>
  <r>
    <n v="2"/>
    <s v="CA-2018-152156"/>
    <d v="2018-11-08T00:00:00"/>
    <s v="Second Class"/>
    <s v="Claire Gute"/>
    <s v="Henderson"/>
    <s v="Kentucky"/>
    <s v="South"/>
    <s v="Furniture"/>
    <s v="Chairs"/>
    <s v="Hon Deluxe Fabric Upholstered Stacking Chairs, Rounded Back"/>
    <n v="731.93999999999994"/>
    <n v="3"/>
    <n v="0"/>
    <n v="219.58199999999997"/>
  </r>
  <r>
    <n v="3"/>
    <s v="CA-2018-138688"/>
    <d v="2018-06-12T00:00:00"/>
    <s v="Second Class"/>
    <s v="Darrin Van Huff"/>
    <s v="Los Angeles"/>
    <s v="California"/>
    <s v="West"/>
    <s v="Office Supplies"/>
    <s v="Labels"/>
    <s v="Self-Adhesive Address Labels for Typewriters by Universal"/>
    <n v="14.62"/>
    <n v="2"/>
    <n v="0"/>
    <n v="6.8713999999999995"/>
  </r>
  <r>
    <n v="4"/>
    <s v="US-2017-108966"/>
    <d v="2017-10-11T00:00:00"/>
    <s v="Standard Class"/>
    <s v="Sean O'Donnell"/>
    <s v="Fort Lauderdale"/>
    <s v="Florida"/>
    <s v="South"/>
    <s v="Furniture"/>
    <s v="Tables"/>
    <s v="Bretford CR4500 Series Slim Rectangular Table"/>
    <n v="957.57749999999999"/>
    <n v="5"/>
    <n v="0.45"/>
    <n v="-383.03100000000006"/>
  </r>
  <r>
    <n v="5"/>
    <s v="US-2017-108966"/>
    <d v="2017-10-11T00:00:00"/>
    <s v="Standard Class"/>
    <s v="Sean O'Donnell"/>
    <s v="Fort Lauderdale"/>
    <s v="Florida"/>
    <s v="South"/>
    <s v="Office Supplies"/>
    <s v="Storage"/>
    <s v="Eldon Fold 'N Roll Cart System"/>
    <n v="22.368000000000002"/>
    <n v="2"/>
    <n v="0.2"/>
    <n v="2.5163999999999991"/>
  </r>
  <r>
    <n v="6"/>
    <s v="CA-2016-115812"/>
    <d v="2016-06-09T00:00:00"/>
    <s v="Standard Class"/>
    <s v="Brosina Hoffman"/>
    <s v="Los Angeles"/>
    <s v="California"/>
    <s v="West"/>
    <s v="Furniture"/>
    <s v="Furnishings"/>
    <s v="Eldon Expressions Wood and Plastic Desk Accessories, Cherry Wood"/>
    <n v="48.86"/>
    <n v="7"/>
    <n v="0"/>
    <n v="14.169399999999996"/>
  </r>
  <r>
    <n v="7"/>
    <s v="CA-2016-115812"/>
    <d v="2016-06-09T00:00:00"/>
    <s v="Standard Class"/>
    <s v="Brosina Hoffman"/>
    <s v="Los Angeles"/>
    <s v="California"/>
    <s v="West"/>
    <s v="Office Supplies"/>
    <s v="Art"/>
    <s v="Newell 322"/>
    <n v="7.28"/>
    <n v="4"/>
    <n v="0"/>
    <n v="1.9656000000000002"/>
  </r>
  <r>
    <n v="8"/>
    <s v="CA-2016-115812"/>
    <d v="2016-06-09T00:00:00"/>
    <s v="Standard Class"/>
    <s v="Brosina Hoffman"/>
    <s v="Los Angeles"/>
    <s v="California"/>
    <s v="West"/>
    <s v="Technology"/>
    <s v="Phones"/>
    <s v="Mitel 5320 IP Phone VoIP phone"/>
    <n v="907.15200000000004"/>
    <n v="6"/>
    <n v="0.2"/>
    <n v="90.715200000000038"/>
  </r>
  <r>
    <n v="9"/>
    <s v="CA-2016-115812"/>
    <d v="2016-06-09T00:00:00"/>
    <s v="Standard Class"/>
    <s v="Brosina Hoffman"/>
    <s v="Los Angeles"/>
    <s v="California"/>
    <s v="West"/>
    <s v="Office Supplies"/>
    <s v="Binders"/>
    <s v="DXL Angle-View Binders with Locking Rings by Samsill"/>
    <n v="18.504000000000001"/>
    <n v="3"/>
    <n v="0.2"/>
    <n v="5.7824999999999998"/>
  </r>
  <r>
    <n v="10"/>
    <s v="CA-2016-115812"/>
    <d v="2016-06-09T00:00:00"/>
    <s v="Standard Class"/>
    <s v="Brosina Hoffman"/>
    <s v="Los Angeles"/>
    <s v="California"/>
    <s v="West"/>
    <s v="Office Supplies"/>
    <s v="Appliances"/>
    <s v="Belkin F5C206VTEL 6 Outlet Surge"/>
    <n v="114.9"/>
    <n v="5"/>
    <n v="0"/>
    <n v="34.469999999999992"/>
  </r>
  <r>
    <n v="11"/>
    <s v="CA-2016-115812"/>
    <d v="2016-06-09T00:00:00"/>
    <s v="Standard Class"/>
    <s v="Brosina Hoffman"/>
    <s v="Los Angeles"/>
    <s v="California"/>
    <s v="West"/>
    <s v="Furniture"/>
    <s v="Tables"/>
    <s v="Chromcraft Rectangular Conference Tables"/>
    <n v="1706.1840000000002"/>
    <n v="9"/>
    <n v="0.2"/>
    <n v="85.309199999999805"/>
  </r>
  <r>
    <n v="12"/>
    <s v="CA-2016-115812"/>
    <d v="2016-06-09T00:00:00"/>
    <s v="Standard Class"/>
    <s v="Brosina Hoffman"/>
    <s v="Los Angeles"/>
    <s v="California"/>
    <s v="West"/>
    <s v="Technology"/>
    <s v="Phones"/>
    <s v="Konftel 250 Conference phone - Charcoal black"/>
    <n v="911.42399999999998"/>
    <n v="4"/>
    <n v="0.2"/>
    <n v="68.356800000000021"/>
  </r>
  <r>
    <n v="13"/>
    <s v="CA-2019-114412"/>
    <d v="2019-04-15T00:00:00"/>
    <s v="Standard Class"/>
    <s v="Andrew Allen"/>
    <s v="Concord"/>
    <s v="North Carolina"/>
    <s v="South"/>
    <s v="Office Supplies"/>
    <s v="Paper"/>
    <s v="Xerox 1967"/>
    <n v="15.552000000000003"/>
    <n v="3"/>
    <n v="0.2"/>
    <n v="5.4432"/>
  </r>
  <r>
    <n v="14"/>
    <s v="CA-2018-161389"/>
    <d v="2018-12-05T00:00:00"/>
    <s v="Standard Class"/>
    <s v="Irene Maddox"/>
    <s v="Seattle"/>
    <s v="Washington"/>
    <s v="West"/>
    <s v="Office Supplies"/>
    <s v="Binders"/>
    <s v="Fellowes PB200 Plastic Comb Binding Machine"/>
    <n v="407.97600000000006"/>
    <n v="3"/>
    <n v="0.2"/>
    <n v="132.59219999999993"/>
  </r>
  <r>
    <n v="15"/>
    <s v="US-2017-118983"/>
    <d v="2017-11-22T00:00:00"/>
    <s v="Standard Class"/>
    <s v="Harold Pawlan"/>
    <s v="Fort Worth"/>
    <s v="Texas"/>
    <s v="Central"/>
    <s v="Office Supplies"/>
    <s v="Appliances"/>
    <s v="Holmes Replacement Filter for HEPA Air Cleaner, Very Large Room, HEPA Filter"/>
    <n v="68.809999999999988"/>
    <n v="5"/>
    <n v="0.8"/>
    <n v="-123.858"/>
  </r>
  <r>
    <n v="16"/>
    <s v="US-2017-118983"/>
    <d v="2017-11-22T00:00:00"/>
    <s v="Standard Class"/>
    <s v="Harold Pawlan"/>
    <s v="Fort Worth"/>
    <s v="Texas"/>
    <s v="Central"/>
    <s v="Office Supplies"/>
    <s v="Binders"/>
    <s v="Storex DuraTech Recycled Plastic Frosted Binders"/>
    <n v="2.5439999999999996"/>
    <n v="3"/>
    <n v="0.8"/>
    <n v="-3.8160000000000016"/>
  </r>
  <r>
    <n v="17"/>
    <s v="CA-2016-105893"/>
    <d v="2016-11-11T00:00:00"/>
    <s v="Standard Class"/>
    <s v="Pete Kriz"/>
    <s v="Madison"/>
    <s v="Wisconsin"/>
    <s v="Central"/>
    <s v="Office Supplies"/>
    <s v="Storage"/>
    <s v="Stur-D-Stor Shelving, Vertical 5-Shelf: 72&quot;H x 36&quot;W x 18 1/2&quot;D"/>
    <n v="665.88"/>
    <n v="6"/>
    <n v="0"/>
    <n v="13.317599999999999"/>
  </r>
  <r>
    <n v="18"/>
    <s v="CA-2016-167164"/>
    <d v="2016-05-13T00:00:00"/>
    <s v="Second Class"/>
    <s v="Alejandro Grove"/>
    <s v="West Jordan"/>
    <s v="Utah"/>
    <s v="West"/>
    <s v="Office Supplies"/>
    <s v="Storage"/>
    <s v="Fellowes Super Stor/Drawer"/>
    <n v="55.5"/>
    <n v="2"/>
    <n v="0"/>
    <n v="9.9899999999999949"/>
  </r>
  <r>
    <n v="19"/>
    <s v="CA-2016-143336"/>
    <d v="2016-08-27T00:00:00"/>
    <s v="Second Class"/>
    <s v="Zuschuss Donatelli"/>
    <s v="San Francisco"/>
    <s v="California"/>
    <s v="West"/>
    <s v="Office Supplies"/>
    <s v="Art"/>
    <s v="Newell 341"/>
    <n v="8.56"/>
    <n v="2"/>
    <n v="0"/>
    <n v="2.4823999999999993"/>
  </r>
  <r>
    <n v="20"/>
    <s v="CA-2016-143336"/>
    <d v="2016-08-27T00:00:00"/>
    <s v="Second Class"/>
    <s v="Zuschuss Donatelli"/>
    <s v="San Francisco"/>
    <s v="California"/>
    <s v="West"/>
    <s v="Technology"/>
    <s v="Phones"/>
    <s v="Cisco SPA 501G IP Phone"/>
    <n v="213.48000000000002"/>
    <n v="3"/>
    <n v="0.2"/>
    <n v="16.010999999999981"/>
  </r>
  <r>
    <n v="21"/>
    <s v="CA-2016-143336"/>
    <d v="2016-08-27T00:00:00"/>
    <s v="Second Class"/>
    <s v="Zuschuss Donatelli"/>
    <s v="San Francisco"/>
    <s v="California"/>
    <s v="West"/>
    <s v="Office Supplies"/>
    <s v="Binders"/>
    <s v="Wilson Jones Hanging View Binder, White, 1&quot;"/>
    <n v="22.72"/>
    <n v="4"/>
    <n v="0.2"/>
    <n v="7.3839999999999986"/>
  </r>
  <r>
    <n v="22"/>
    <s v="CA-2018-137330"/>
    <d v="2018-12-09T00:00:00"/>
    <s v="Standard Class"/>
    <s v="Ken Black"/>
    <s v="Fremont"/>
    <s v="Nebraska"/>
    <s v="Central"/>
    <s v="Office Supplies"/>
    <s v="Art"/>
    <s v="Newell 318"/>
    <n v="19.459999999999997"/>
    <n v="7"/>
    <n v="0"/>
    <n v="5.0595999999999997"/>
  </r>
  <r>
    <n v="23"/>
    <s v="CA-2018-137330"/>
    <d v="2018-12-09T00:00:00"/>
    <s v="Standard Class"/>
    <s v="Ken Black"/>
    <s v="Fremont"/>
    <s v="Nebraska"/>
    <s v="Central"/>
    <s v="Office Supplies"/>
    <s v="Appliances"/>
    <s v="Acco Six-Outlet Power Strip, 4' Cord Length"/>
    <n v="60.339999999999996"/>
    <n v="7"/>
    <n v="0"/>
    <n v="15.688400000000001"/>
  </r>
  <r>
    <n v="24"/>
    <s v="US-2019-156909"/>
    <d v="2019-07-16T00:00:00"/>
    <s v="Second Class"/>
    <s v="Sandra Flanagan"/>
    <s v="Philadelphia"/>
    <s v="Pennsylvania"/>
    <s v="East"/>
    <s v="Furniture"/>
    <s v="Chairs"/>
    <s v="Global Deluxe Stacking Chair, Gray"/>
    <n v="71.371999999999986"/>
    <n v="2"/>
    <n v="0.3"/>
    <n v="-1.0196000000000005"/>
  </r>
  <r>
    <n v="25"/>
    <s v="CA-2017-106320"/>
    <d v="2017-09-25T00:00:00"/>
    <s v="Standard Class"/>
    <s v="Emily Burns"/>
    <s v="Orem"/>
    <s v="Utah"/>
    <s v="West"/>
    <s v="Furniture"/>
    <s v="Tables"/>
    <s v="Bretford CR4500 Series Slim Rectangular Table"/>
    <n v="1044.6299999999999"/>
    <n v="3"/>
    <n v="0"/>
    <n v="240.26490000000001"/>
  </r>
  <r>
    <n v="26"/>
    <s v="CA-2018-121755"/>
    <d v="2018-01-16T00:00:00"/>
    <s v="Second Class"/>
    <s v="Eric Hoffmann"/>
    <s v="Los Angeles"/>
    <s v="California"/>
    <s v="West"/>
    <s v="Office Supplies"/>
    <s v="Binders"/>
    <s v="Wilson Jones Active Use Binders"/>
    <n v="11.648000000000001"/>
    <n v="2"/>
    <n v="0.2"/>
    <n v="4.2224000000000004"/>
  </r>
  <r>
    <n v="27"/>
    <s v="CA-2018-121755"/>
    <d v="2018-01-16T00:00:00"/>
    <s v="Second Class"/>
    <s v="Eric Hoffmann"/>
    <s v="Los Angeles"/>
    <s v="California"/>
    <s v="West"/>
    <s v="Technology"/>
    <s v="Accessories"/>
    <s v="Imation 8GB Mini TravelDrive USB 2.0 Flash Drive"/>
    <n v="90.570000000000007"/>
    <n v="3"/>
    <n v="0"/>
    <n v="11.774100000000004"/>
  </r>
  <r>
    <n v="28"/>
    <s v="US-2017-150630"/>
    <d v="2017-09-17T00:00:00"/>
    <s v="Standard Class"/>
    <s v="Tracy Blumstein"/>
    <s v="Philadelphia"/>
    <s v="Pennsylvania"/>
    <s v="East"/>
    <s v="Furniture"/>
    <s v="Bookcases"/>
    <s v="Riverside Palais Royal Lawyers Bookcase, Royale Cherry Finish"/>
    <n v="3083.4300000000003"/>
    <n v="7"/>
    <n v="0.5"/>
    <n v="-1665.0522000000001"/>
  </r>
  <r>
    <n v="29"/>
    <s v="US-2017-150630"/>
    <d v="2017-09-17T00:00:00"/>
    <s v="Standard Class"/>
    <s v="Tracy Blumstein"/>
    <s v="Philadelphia"/>
    <s v="Pennsylvania"/>
    <s v="East"/>
    <s v="Office Supplies"/>
    <s v="Binders"/>
    <s v="Avery Recycled Flexi-View Covers for Binding Systems"/>
    <n v="9.6180000000000021"/>
    <n v="2"/>
    <n v="0.7"/>
    <n v="-7.0532000000000004"/>
  </r>
  <r>
    <n v="30"/>
    <s v="US-2017-150630"/>
    <d v="2017-09-17T00:00:00"/>
    <s v="Standard Class"/>
    <s v="Tracy Blumstein"/>
    <s v="Philadelphia"/>
    <s v="Pennsylvania"/>
    <s v="East"/>
    <s v="Furniture"/>
    <s v="Furnishings"/>
    <s v="Howard Miller 13-3/4&quot; Diameter Brushed Chrome Round Wall Clock"/>
    <n v="124.20000000000002"/>
    <n v="3"/>
    <n v="0.2"/>
    <n v="15.524999999999991"/>
  </r>
  <r>
    <n v="31"/>
    <s v="US-2017-150630"/>
    <d v="2017-09-17T00:00:00"/>
    <s v="Standard Class"/>
    <s v="Tracy Blumstein"/>
    <s v="Philadelphia"/>
    <s v="Pennsylvania"/>
    <s v="East"/>
    <s v="Office Supplies"/>
    <s v="Envelopes"/>
    <s v="Poly String Tie Envelopes"/>
    <n v="3.2640000000000002"/>
    <n v="2"/>
    <n v="0.2"/>
    <n v="1.1015999999999997"/>
  </r>
  <r>
    <n v="32"/>
    <s v="US-2017-150630"/>
    <d v="2017-09-17T00:00:00"/>
    <s v="Standard Class"/>
    <s v="Tracy Blumstein"/>
    <s v="Philadelphia"/>
    <s v="Pennsylvania"/>
    <s v="East"/>
    <s v="Office Supplies"/>
    <s v="Art"/>
    <s v="BOSTON Model 1800 Electric Pencil Sharpeners, Putty/Woodgrain"/>
    <n v="86.304000000000002"/>
    <n v="6"/>
    <n v="0.2"/>
    <n v="9.7091999999999885"/>
  </r>
  <r>
    <n v="33"/>
    <s v="US-2017-150630"/>
    <d v="2017-09-17T00:00:00"/>
    <s v="Standard Class"/>
    <s v="Tracy Blumstein"/>
    <s v="Philadelphia"/>
    <s v="Pennsylvania"/>
    <s v="East"/>
    <s v="Office Supplies"/>
    <s v="Binders"/>
    <s v="Acco Pressboard Covers with Storage Hooks, 14 7/8&quot; x 11&quot;, Executive Red"/>
    <n v="6.8580000000000014"/>
    <n v="6"/>
    <n v="0.7"/>
    <n v="-5.7149999999999999"/>
  </r>
  <r>
    <n v="34"/>
    <s v="US-2017-150630"/>
    <d v="2017-09-17T00:00:00"/>
    <s v="Standard Class"/>
    <s v="Tracy Blumstein"/>
    <s v="Philadelphia"/>
    <s v="Pennsylvania"/>
    <s v="East"/>
    <s v="Office Supplies"/>
    <s v="Art"/>
    <s v="Lumber Crayons"/>
    <n v="15.76"/>
    <n v="2"/>
    <n v="0.2"/>
    <n v="3.5460000000000007"/>
  </r>
  <r>
    <n v="35"/>
    <s v="CA-2019-107727"/>
    <d v="2019-10-19T00:00:00"/>
    <s v="Second Class"/>
    <s v="Matt Abelman"/>
    <s v="Houston"/>
    <s v="Texas"/>
    <s v="Central"/>
    <s v="Office Supplies"/>
    <s v="Paper"/>
    <s v="Easy-staple paper"/>
    <n v="29.472000000000001"/>
    <n v="3"/>
    <n v="0.2"/>
    <n v="9.9467999999999979"/>
  </r>
  <r>
    <n v="36"/>
    <s v="CA-2018-117590"/>
    <d v="2018-12-08T00:00:00"/>
    <s v="First Class"/>
    <s v="Gene Hale"/>
    <s v="Richardson"/>
    <s v="Texas"/>
    <s v="Central"/>
    <s v="Technology"/>
    <s v="Phones"/>
    <s v="GE 30524EE4"/>
    <n v="1097.5440000000003"/>
    <n v="7"/>
    <n v="0.2"/>
    <n v="123.47369999999989"/>
  </r>
  <r>
    <n v="37"/>
    <s v="CA-2018-117590"/>
    <d v="2018-12-08T00:00:00"/>
    <s v="First Class"/>
    <s v="Gene Hale"/>
    <s v="Richardson"/>
    <s v="Texas"/>
    <s v="Central"/>
    <s v="Furniture"/>
    <s v="Furnishings"/>
    <s v="Electrix Architect's Clamp-On Swing Arm Lamp, Black"/>
    <n v="190.92"/>
    <n v="5"/>
    <n v="0.6"/>
    <n v="-147.96300000000002"/>
  </r>
  <r>
    <n v="38"/>
    <s v="CA-2017-117415"/>
    <d v="2017-12-27T00:00:00"/>
    <s v="Standard Class"/>
    <s v="Steve Nguyen"/>
    <s v="Houston"/>
    <s v="Texas"/>
    <s v="Central"/>
    <s v="Office Supplies"/>
    <s v="Envelopes"/>
    <s v="#10-4 1/8&quot; x 9 1/2&quot; Premium Diagonal Seam Envelopes"/>
    <n v="113.328"/>
    <n v="9"/>
    <n v="0.2"/>
    <n v="35.414999999999999"/>
  </r>
  <r>
    <n v="39"/>
    <s v="CA-2017-117415"/>
    <d v="2017-12-27T00:00:00"/>
    <s v="Standard Class"/>
    <s v="Steve Nguyen"/>
    <s v="Houston"/>
    <s v="Texas"/>
    <s v="Central"/>
    <s v="Furniture"/>
    <s v="Bookcases"/>
    <s v="Atlantic Metals Mobile 3-Shelf Bookcases, Custom Colors"/>
    <n v="532.39919999999995"/>
    <n v="3"/>
    <n v="0.32"/>
    <n v="-46.976400000000012"/>
  </r>
  <r>
    <n v="40"/>
    <s v="CA-2017-117415"/>
    <d v="2017-12-27T00:00:00"/>
    <s v="Standard Class"/>
    <s v="Steve Nguyen"/>
    <s v="Houston"/>
    <s v="Texas"/>
    <s v="Central"/>
    <s v="Furniture"/>
    <s v="Chairs"/>
    <s v="Global Fabric Manager's Chair, Dark Gray"/>
    <n v="212.05799999999999"/>
    <n v="3"/>
    <n v="0.3"/>
    <n v="-15.146999999999991"/>
  </r>
  <r>
    <n v="41"/>
    <s v="CA-2017-117415"/>
    <d v="2017-12-27T00:00:00"/>
    <s v="Standard Class"/>
    <s v="Steve Nguyen"/>
    <s v="Houston"/>
    <s v="Texas"/>
    <s v="Central"/>
    <s v="Technology"/>
    <s v="Phones"/>
    <s v="Plantronics HL10 Handset Lifter"/>
    <n v="371.16800000000001"/>
    <n v="4"/>
    <n v="0.2"/>
    <n v="41.756399999999957"/>
  </r>
  <r>
    <n v="42"/>
    <s v="CA-2019-120999"/>
    <d v="2019-09-10T00:00:00"/>
    <s v="Standard Class"/>
    <s v="Linda Cazamias"/>
    <s v="Naperville"/>
    <s v="Illinois"/>
    <s v="Central"/>
    <s v="Technology"/>
    <s v="Phones"/>
    <s v="Panasonic Kx-TS550"/>
    <n v="147.16800000000001"/>
    <n v="4"/>
    <n v="0.2"/>
    <n v="16.556399999999996"/>
  </r>
  <r>
    <n v="43"/>
    <s v="CA-2018-101343"/>
    <d v="2018-07-17T00:00:00"/>
    <s v="Standard Class"/>
    <s v="Ruben Ausman"/>
    <s v="Los Angeles"/>
    <s v="California"/>
    <s v="West"/>
    <s v="Office Supplies"/>
    <s v="Storage"/>
    <s v="Eldon Base for stackable storage shelf, platinum"/>
    <n v="77.88"/>
    <n v="2"/>
    <n v="0"/>
    <n v="3.8939999999999912"/>
  </r>
  <r>
    <n v="44"/>
    <s v="CA-2019-139619"/>
    <d v="2019-09-19T00:00:00"/>
    <s v="Standard Class"/>
    <s v="Erin Smith"/>
    <s v="Melbourne"/>
    <s v="Florida"/>
    <s v="South"/>
    <s v="Office Supplies"/>
    <s v="Storage"/>
    <s v="Advantus 10-Drawer Portable Organizer, Chrome Metal Frame, Smoke Drawers"/>
    <n v="95.616"/>
    <n v="2"/>
    <n v="0.2"/>
    <n v="9.5616000000000092"/>
  </r>
  <r>
    <n v="45"/>
    <s v="CA-2018-118255"/>
    <d v="2018-03-11T00:00:00"/>
    <s v="First Class"/>
    <s v="Odella Nelson"/>
    <s v="Eagan"/>
    <s v="Minnesota"/>
    <s v="Central"/>
    <s v="Technology"/>
    <s v="Accessories"/>
    <s v="Verbatim 25 GB 6x Blu-ray Single Layer Recordable Disc, 25/Pack"/>
    <n v="45.98"/>
    <n v="2"/>
    <n v="0"/>
    <n v="19.7714"/>
  </r>
  <r>
    <n v="46"/>
    <s v="CA-2018-118255"/>
    <d v="2018-03-11T00:00:00"/>
    <s v="First Class"/>
    <s v="Odella Nelson"/>
    <s v="Eagan"/>
    <s v="Minnesota"/>
    <s v="Central"/>
    <s v="Office Supplies"/>
    <s v="Binders"/>
    <s v="Wilson Jones Leather-Like Binders with DublLock Round Rings"/>
    <n v="17.46"/>
    <n v="2"/>
    <n v="0"/>
    <n v="8.2061999999999991"/>
  </r>
  <r>
    <n v="47"/>
    <s v="CA-2016-146703"/>
    <d v="2016-10-20T00:00:00"/>
    <s v="Second Class"/>
    <s v="Patrick O'Donnell"/>
    <s v="Westland"/>
    <s v="Michigan"/>
    <s v="Central"/>
    <s v="Office Supplies"/>
    <s v="Storage"/>
    <s v="Gould Plastics 9-Pocket Panel Bin, 18-3/8w x 5-1/4d x 20-1/2h, Black"/>
    <n v="211.96"/>
    <n v="4"/>
    <n v="0"/>
    <n v="8.4783999999999935"/>
  </r>
  <r>
    <n v="48"/>
    <s v="CA-2018-169194"/>
    <d v="2018-06-20T00:00:00"/>
    <s v="Standard Class"/>
    <s v="Lena Hernandez"/>
    <s v="Dover"/>
    <s v="Delaware"/>
    <s v="East"/>
    <s v="Technology"/>
    <s v="Accessories"/>
    <s v="Imation 8gb Micro Traveldrive Usb 2.0 Flash Drive"/>
    <n v="45"/>
    <n v="3"/>
    <n v="0"/>
    <n v="4.9500000000000011"/>
  </r>
  <r>
    <n v="49"/>
    <s v="CA-2018-169194"/>
    <d v="2018-06-20T00:00:00"/>
    <s v="Standard Class"/>
    <s v="Lena Hernandez"/>
    <s v="Dover"/>
    <s v="Delaware"/>
    <s v="East"/>
    <s v="Technology"/>
    <s v="Phones"/>
    <s v="LF Elite 3D Dazzle Designer Hard Case Cover, Lf Stylus Pen and Wiper For Apple Iphone 5c Mini Lite"/>
    <n v="21.8"/>
    <n v="2"/>
    <n v="0"/>
    <n v="6.104000000000001"/>
  </r>
  <r>
    <n v="50"/>
    <s v="CA-2017-115742"/>
    <d v="2017-04-18T00:00:00"/>
    <s v="Standard Class"/>
    <s v="Darren Powers"/>
    <s v="New Albany"/>
    <s v="Indiana"/>
    <s v="Central"/>
    <s v="Office Supplies"/>
    <s v="Binders"/>
    <s v="C-Line Peel &amp; Stick Add-On Filing Pockets, 8-3/4 x 5-1/8, 10/Pack"/>
    <n v="38.22"/>
    <n v="6"/>
    <n v="0"/>
    <n v="17.9634"/>
  </r>
  <r>
    <n v="51"/>
    <s v="CA-2017-115742"/>
    <d v="2017-04-18T00:00:00"/>
    <s v="Standard Class"/>
    <s v="Darren Powers"/>
    <s v="New Albany"/>
    <s v="Indiana"/>
    <s v="Central"/>
    <s v="Office Supplies"/>
    <s v="Labels"/>
    <s v="Avery 485"/>
    <n v="75.179999999999993"/>
    <n v="6"/>
    <n v="0"/>
    <n v="35.334599999999995"/>
  </r>
  <r>
    <n v="52"/>
    <s v="CA-2017-115742"/>
    <d v="2017-04-18T00:00:00"/>
    <s v="Standard Class"/>
    <s v="Darren Powers"/>
    <s v="New Albany"/>
    <s v="Indiana"/>
    <s v="Central"/>
    <s v="Furniture"/>
    <s v="Furnishings"/>
    <s v="Longer-Life Soft White Bulbs"/>
    <n v="6.16"/>
    <n v="2"/>
    <n v="0"/>
    <n v="2.9567999999999999"/>
  </r>
  <r>
    <n v="53"/>
    <s v="CA-2017-115742"/>
    <d v="2017-04-18T00:00:00"/>
    <s v="Standard Class"/>
    <s v="Darren Powers"/>
    <s v="New Albany"/>
    <s v="Indiana"/>
    <s v="Central"/>
    <s v="Furniture"/>
    <s v="Chairs"/>
    <s v="Global Leather Task Chair, Black"/>
    <n v="89.99"/>
    <n v="1"/>
    <n v="0"/>
    <n v="17.098099999999988"/>
  </r>
  <r>
    <n v="54"/>
    <s v="CA-2018-105816"/>
    <d v="2018-12-11T00:00:00"/>
    <s v="Standard Class"/>
    <s v="Janet Molinari"/>
    <s v="New York City"/>
    <s v="New York"/>
    <s v="East"/>
    <s v="Office Supplies"/>
    <s v="Fasteners"/>
    <s v="Advantus Push Pins"/>
    <n v="15.260000000000002"/>
    <n v="7"/>
    <n v="0"/>
    <n v="6.2566000000000006"/>
  </r>
  <r>
    <n v="55"/>
    <s v="CA-2018-105816"/>
    <d v="2018-12-11T00:00:00"/>
    <s v="Standard Class"/>
    <s v="Janet Molinari"/>
    <s v="New York City"/>
    <s v="New York"/>
    <s v="East"/>
    <s v="Technology"/>
    <s v="Phones"/>
    <s v="AT&amp;T CL83451 4-Handset Telephone"/>
    <n v="1029.95"/>
    <n v="5"/>
    <n v="0"/>
    <n v="298.68549999999999"/>
  </r>
  <r>
    <n v="56"/>
    <s v="CA-2018-111682"/>
    <d v="2018-06-17T00:00:00"/>
    <s v="First Class"/>
    <s v="Ted Butterfield"/>
    <s v="Troy"/>
    <s v="New York"/>
    <s v="East"/>
    <s v="Office Supplies"/>
    <s v="Storage"/>
    <s v="Home/Office Personal File Carts"/>
    <n v="208.56"/>
    <n v="6"/>
    <n v="0"/>
    <n v="52.139999999999986"/>
  </r>
  <r>
    <n v="57"/>
    <s v="CA-2018-111682"/>
    <d v="2018-06-17T00:00:00"/>
    <s v="First Class"/>
    <s v="Ted Butterfield"/>
    <s v="Troy"/>
    <s v="New York"/>
    <s v="East"/>
    <s v="Office Supplies"/>
    <s v="Paper"/>
    <s v="Xerox 232"/>
    <n v="32.400000000000006"/>
    <n v="5"/>
    <n v="0"/>
    <n v="15.552000000000001"/>
  </r>
  <r>
    <n v="58"/>
    <s v="CA-2018-111682"/>
    <d v="2018-06-17T00:00:00"/>
    <s v="First Class"/>
    <s v="Ted Butterfield"/>
    <s v="Troy"/>
    <s v="New York"/>
    <s v="East"/>
    <s v="Furniture"/>
    <s v="Chairs"/>
    <s v="Novimex Turbo Task Chair"/>
    <n v="319.41000000000003"/>
    <n v="5"/>
    <n v="0.1"/>
    <n v="7.0980000000000061"/>
  </r>
  <r>
    <n v="59"/>
    <s v="CA-2018-111682"/>
    <d v="2018-06-17T00:00:00"/>
    <s v="First Class"/>
    <s v="Ted Butterfield"/>
    <s v="Troy"/>
    <s v="New York"/>
    <s v="East"/>
    <s v="Office Supplies"/>
    <s v="Paper"/>
    <s v="Array Parchment Paper, Assorted Colors"/>
    <n v="14.56"/>
    <n v="2"/>
    <n v="0"/>
    <n v="6.9888000000000003"/>
  </r>
  <r>
    <n v="60"/>
    <s v="CA-2018-111682"/>
    <d v="2018-06-17T00:00:00"/>
    <s v="First Class"/>
    <s v="Ted Butterfield"/>
    <s v="Troy"/>
    <s v="New York"/>
    <s v="East"/>
    <s v="Technology"/>
    <s v="Accessories"/>
    <s v="Imation 8gb Micro Traveldrive Usb 2.0 Flash Drive"/>
    <n v="30"/>
    <n v="2"/>
    <n v="0"/>
    <n v="3.3000000000000007"/>
  </r>
  <r>
    <n v="61"/>
    <s v="CA-2018-111682"/>
    <d v="2018-06-17T00:00:00"/>
    <s v="First Class"/>
    <s v="Ted Butterfield"/>
    <s v="Troy"/>
    <s v="New York"/>
    <s v="East"/>
    <s v="Office Supplies"/>
    <s v="Binders"/>
    <s v="Plastic Binding Combs"/>
    <n v="48.480000000000004"/>
    <n v="4"/>
    <n v="0.2"/>
    <n v="16.361999999999998"/>
  </r>
  <r>
    <n v="62"/>
    <s v="CA-2018-111682"/>
    <d v="2018-06-17T00:00:00"/>
    <s v="First Class"/>
    <s v="Ted Butterfield"/>
    <s v="Troy"/>
    <s v="New York"/>
    <s v="East"/>
    <s v="Office Supplies"/>
    <s v="Art"/>
    <s v="Prang Dustless Chalk Sticks"/>
    <n v="1.68"/>
    <n v="1"/>
    <n v="0"/>
    <n v="0.84"/>
  </r>
  <r>
    <n v="63"/>
    <s v="CA-2017-135545"/>
    <d v="2017-11-24T00:00:00"/>
    <s v="Standard Class"/>
    <s v="Kunst Miller"/>
    <s v="Los Angeles"/>
    <s v="California"/>
    <s v="West"/>
    <s v="Technology"/>
    <s v="Accessories"/>
    <s v="Verbatim 25 GB 6x Blu-ray Single Layer Recordable Disc, 3/Pack"/>
    <n v="13.98"/>
    <n v="2"/>
    <n v="0"/>
    <n v="6.1512000000000011"/>
  </r>
  <r>
    <n v="64"/>
    <s v="CA-2017-135545"/>
    <d v="2017-11-24T00:00:00"/>
    <s v="Standard Class"/>
    <s v="Kunst Miller"/>
    <s v="Los Angeles"/>
    <s v="California"/>
    <s v="West"/>
    <s v="Office Supplies"/>
    <s v="Binders"/>
    <s v="Acco PRESSTEX Data Binder with Storage Hooks, Dark Blue, 14 7/8&quot; X 11&quot;"/>
    <n v="25.824000000000002"/>
    <n v="6"/>
    <n v="0.2"/>
    <n v="9.3612000000000002"/>
  </r>
  <r>
    <n v="65"/>
    <s v="CA-2017-135545"/>
    <d v="2017-11-24T00:00:00"/>
    <s v="Standard Class"/>
    <s v="Kunst Miller"/>
    <s v="Los Angeles"/>
    <s v="California"/>
    <s v="West"/>
    <s v="Office Supplies"/>
    <s v="Paper"/>
    <s v="Xerox 1943"/>
    <n v="146.72999999999999"/>
    <n v="3"/>
    <n v="0"/>
    <n v="68.963099999999997"/>
  </r>
  <r>
    <n v="66"/>
    <s v="CA-2017-135545"/>
    <d v="2017-11-24T00:00:00"/>
    <s v="Standard Class"/>
    <s v="Kunst Miller"/>
    <s v="Los Angeles"/>
    <s v="California"/>
    <s v="West"/>
    <s v="Furniture"/>
    <s v="Furnishings"/>
    <s v="Luxo Economy Swing Arm Lamp"/>
    <n v="79.760000000000005"/>
    <n v="4"/>
    <n v="0"/>
    <n v="22.332800000000006"/>
  </r>
  <r>
    <n v="67"/>
    <s v="US-2017-164175"/>
    <d v="2017-04-30T00:00:00"/>
    <s v="Standard Class"/>
    <s v="Paul Stevenson"/>
    <s v="Chicago"/>
    <s v="Illinois"/>
    <s v="Central"/>
    <s v="Furniture"/>
    <s v="Chairs"/>
    <s v="Global Value Mid-Back Manager's Chair, Gray"/>
    <n v="213.11499999999998"/>
    <n v="5"/>
    <n v="0.3"/>
    <n v="-15.222500000000011"/>
  </r>
  <r>
    <n v="68"/>
    <s v="CA-2016-106376"/>
    <d v="2016-12-05T00:00:00"/>
    <s v="Standard Class"/>
    <s v="Brendan Sweed"/>
    <s v="Gilbert"/>
    <s v="Arizona"/>
    <s v="West"/>
    <s v="Office Supplies"/>
    <s v="Art"/>
    <s v="Hunt BOSTON Model 1606 High-Volume Electric Pencil Sharpener, Beige"/>
    <n v="1113.0240000000001"/>
    <n v="8"/>
    <n v="0.2"/>
    <n v="111.30239999999998"/>
  </r>
  <r>
    <n v="69"/>
    <s v="CA-2016-106376"/>
    <d v="2016-12-05T00:00:00"/>
    <s v="Standard Class"/>
    <s v="Brendan Sweed"/>
    <s v="Gilbert"/>
    <s v="Arizona"/>
    <s v="West"/>
    <s v="Technology"/>
    <s v="Phones"/>
    <s v="netTALK DUO VoIP Telephone Service"/>
    <n v="167.96800000000002"/>
    <n v="4"/>
    <n v="0.2"/>
    <n v="62.988"/>
  </r>
  <r>
    <n v="70"/>
    <s v="CA-2018-119823"/>
    <d v="2018-06-04T00:00:00"/>
    <s v="First Class"/>
    <s v="Karen Daniels"/>
    <s v="Springfield"/>
    <s v="Virginia"/>
    <s v="South"/>
    <s v="Office Supplies"/>
    <s v="Paper"/>
    <s v="Snap-A-Way Black Print Carbonless Ruled Speed Letter, Triplicate"/>
    <n v="75.88"/>
    <n v="2"/>
    <n v="0"/>
    <n v="35.663599999999995"/>
  </r>
  <r>
    <n v="71"/>
    <s v="CA-2018-106075"/>
    <d v="2018-09-18T00:00:00"/>
    <s v="Standard Class"/>
    <s v="Henry MacAllister"/>
    <s v="New York City"/>
    <s v="New York"/>
    <s v="East"/>
    <s v="Office Supplies"/>
    <s v="Binders"/>
    <s v="Avery Binding System Hidden Tab Executive Style Index Sets"/>
    <n v="4.6159999999999997"/>
    <n v="1"/>
    <n v="0.2"/>
    <n v="1.7309999999999999"/>
  </r>
  <r>
    <n v="72"/>
    <s v="CA-2019-114440"/>
    <d v="2019-09-14T00:00:00"/>
    <s v="Second Class"/>
    <s v="Tracy Blumstein"/>
    <s v="Jackson"/>
    <s v="Michigan"/>
    <s v="Central"/>
    <s v="Office Supplies"/>
    <s v="Paper"/>
    <s v="Telephone Message Books with Fax/Mobile Section, 5 1/2&quot; x 3 3/16&quot;"/>
    <n v="19.049999999999997"/>
    <n v="3"/>
    <n v="0"/>
    <n v="8.7629999999999999"/>
  </r>
  <r>
    <n v="73"/>
    <s v="US-2017-134026"/>
    <d v="2017-04-26T00:00:00"/>
    <s v="Standard Class"/>
    <s v="Joel Eaton"/>
    <s v="Memphis"/>
    <s v="Tennessee"/>
    <s v="South"/>
    <s v="Furniture"/>
    <s v="Chairs"/>
    <s v="High-Back Leather Manager's Chair"/>
    <n v="831.93600000000015"/>
    <n v="8"/>
    <n v="0.2"/>
    <n v="-114.39120000000003"/>
  </r>
  <r>
    <n v="74"/>
    <s v="US-2017-134026"/>
    <d v="2017-04-26T00:00:00"/>
    <s v="Standard Class"/>
    <s v="Joel Eaton"/>
    <s v="Memphis"/>
    <s v="Tennessee"/>
    <s v="South"/>
    <s v="Furniture"/>
    <s v="Furnishings"/>
    <s v="Tenex Traditional Chairmats for Medium Pile Carpet, Standard Lip, 36&quot; x 48&quot;"/>
    <n v="97.04"/>
    <n v="2"/>
    <n v="0.2"/>
    <n v="1.2129999999999974"/>
  </r>
  <r>
    <n v="75"/>
    <s v="US-2017-134026"/>
    <d v="2017-04-26T00:00:00"/>
    <s v="Standard Class"/>
    <s v="Joel Eaton"/>
    <s v="Memphis"/>
    <s v="Tennessee"/>
    <s v="South"/>
    <s v="Office Supplies"/>
    <s v="Storage"/>
    <s v="Safco Industrial Wire Shelving System"/>
    <n v="72.784000000000006"/>
    <n v="1"/>
    <n v="0.2"/>
    <n v="-18.196000000000002"/>
  </r>
  <r>
    <n v="76"/>
    <s v="US-2019-118038"/>
    <d v="2019-12-09T00:00:00"/>
    <s v="First Class"/>
    <s v="Ken Brennan"/>
    <s v="Houston"/>
    <s v="Texas"/>
    <s v="Central"/>
    <s v="Office Supplies"/>
    <s v="Binders"/>
    <s v="Economy Binders"/>
    <n v="1.2479999999999998"/>
    <n v="3"/>
    <n v="0.8"/>
    <n v="-1.9344000000000006"/>
  </r>
  <r>
    <n v="77"/>
    <s v="US-2019-118038"/>
    <d v="2019-12-09T00:00:00"/>
    <s v="First Class"/>
    <s v="Ken Brennan"/>
    <s v="Houston"/>
    <s v="Texas"/>
    <s v="Central"/>
    <s v="Furniture"/>
    <s v="Furnishings"/>
    <s v="6&quot; Cubicle Wall Clock, Black"/>
    <n v="9.7080000000000002"/>
    <n v="3"/>
    <n v="0.6"/>
    <n v="-5.8248000000000015"/>
  </r>
  <r>
    <n v="78"/>
    <s v="US-2019-118038"/>
    <d v="2019-12-09T00:00:00"/>
    <s v="First Class"/>
    <s v="Ken Brennan"/>
    <s v="Houston"/>
    <s v="Texas"/>
    <s v="Central"/>
    <s v="Office Supplies"/>
    <s v="Storage"/>
    <s v="SimpliFile Personal File, Black Granite, 15w x 6-15/16d x 11-1/4h"/>
    <n v="27.240000000000002"/>
    <n v="3"/>
    <n v="0.2"/>
    <n v="2.724000000000002"/>
  </r>
  <r>
    <n v="79"/>
    <s v="US-2016-147606"/>
    <d v="2016-11-26T00:00:00"/>
    <s v="Second Class"/>
    <s v="Joel Eaton"/>
    <s v="Houston"/>
    <s v="Texas"/>
    <s v="Central"/>
    <s v="Furniture"/>
    <s v="Furnishings"/>
    <s v="Eldon Expressions Desk Accessory, Wood Pencil Holder, Oak"/>
    <n v="19.3"/>
    <n v="5"/>
    <n v="0.6"/>
    <n v="-14.475000000000001"/>
  </r>
  <r>
    <n v="80"/>
    <s v="CA-2018-127208"/>
    <d v="2018-06-12T00:00:00"/>
    <s v="First Class"/>
    <s v="Stewart Carmichael"/>
    <s v="Decatur"/>
    <s v="Alabama"/>
    <s v="South"/>
    <s v="Office Supplies"/>
    <s v="Appliances"/>
    <s v="1.7 Cubic Foot Compact &quot;Cube&quot; Office Refrigerators"/>
    <n v="208.16"/>
    <n v="1"/>
    <n v="0"/>
    <n v="56.20320000000001"/>
  </r>
  <r>
    <n v="81"/>
    <s v="CA-2018-127208"/>
    <d v="2018-06-12T00:00:00"/>
    <s v="First Class"/>
    <s v="Stewart Carmichael"/>
    <s v="Decatur"/>
    <s v="Alabama"/>
    <s v="South"/>
    <s v="Office Supplies"/>
    <s v="Binders"/>
    <s v="Avery Heavy-Duty EZD  Binder With Locking Rings"/>
    <n v="16.740000000000002"/>
    <n v="3"/>
    <n v="0"/>
    <n v="8.0351999999999997"/>
  </r>
  <r>
    <n v="82"/>
    <s v="CA-2016-139451"/>
    <d v="2016-10-12T00:00:00"/>
    <s v="Standard Class"/>
    <s v="Duane Noonan"/>
    <s v="San Francisco"/>
    <s v="California"/>
    <s v="West"/>
    <s v="Office Supplies"/>
    <s v="Art"/>
    <s v="Premium Writing Pencils, Soft, #2 by Central Association for the Blind"/>
    <n v="14.9"/>
    <n v="5"/>
    <n v="0"/>
    <n v="4.1720000000000006"/>
  </r>
  <r>
    <n v="83"/>
    <s v="CA-2016-139451"/>
    <d v="2016-10-12T00:00:00"/>
    <s v="Standard Class"/>
    <s v="Duane Noonan"/>
    <s v="San Francisco"/>
    <s v="California"/>
    <s v="West"/>
    <s v="Office Supplies"/>
    <s v="Storage"/>
    <s v="Sortfiler Multipurpose Personal File Organizer, Black"/>
    <n v="21.39"/>
    <n v="1"/>
    <n v="0"/>
    <n v="6.2030999999999992"/>
  </r>
  <r>
    <n v="84"/>
    <s v="CA-2017-149734"/>
    <d v="2017-09-03T00:00:00"/>
    <s v="Standard Class"/>
    <s v="Julie Creighton"/>
    <s v="Durham"/>
    <s v="North Carolina"/>
    <s v="South"/>
    <s v="Office Supplies"/>
    <s v="Envelopes"/>
    <s v="Jet-Pak Recycled Peel 'N' Seal Padded Mailers"/>
    <n v="200.98400000000004"/>
    <n v="7"/>
    <n v="0.2"/>
    <n v="62.807499999999976"/>
  </r>
  <r>
    <n v="85"/>
    <s v="US-2019-119662"/>
    <d v="2019-11-13T00:00:00"/>
    <s v="First Class"/>
    <s v="Christopher Schild"/>
    <s v="Chicago"/>
    <s v="Illinois"/>
    <s v="Central"/>
    <s v="Office Supplies"/>
    <s v="Storage"/>
    <s v="Safco Industrial Wire Shelving"/>
    <n v="230.376"/>
    <n v="3"/>
    <n v="0.2"/>
    <n v="-48.954900000000002"/>
  </r>
  <r>
    <n v="86"/>
    <s v="CA-2019-140088"/>
    <d v="2019-05-28T00:00:00"/>
    <s v="Second Class"/>
    <s v="Patrick O'Donnell"/>
    <s v="Columbia"/>
    <s v="South Carolina"/>
    <s v="South"/>
    <s v="Furniture"/>
    <s v="Chairs"/>
    <s v="Novimex Swivel Fabric Task Chair"/>
    <n v="301.95999999999998"/>
    <n v="2"/>
    <n v="0"/>
    <n v="33.215599999999995"/>
  </r>
  <r>
    <n v="87"/>
    <s v="CA-2019-155558"/>
    <d v="2019-10-26T00:00:00"/>
    <s v="Standard Class"/>
    <s v="Paul Gonzalez"/>
    <s v="Rochester"/>
    <s v="Minnesota"/>
    <s v="Central"/>
    <s v="Technology"/>
    <s v="Accessories"/>
    <s v="Logitech LS21 Speaker System - PC Multimedia - 2.1-CH - Wired"/>
    <n v="19.989999999999998"/>
    <n v="1"/>
    <n v="0"/>
    <n v="6.796599999999998"/>
  </r>
  <r>
    <n v="88"/>
    <s v="CA-2019-155558"/>
    <d v="2019-10-26T00:00:00"/>
    <s v="Standard Class"/>
    <s v="Paul Gonzalez"/>
    <s v="Rochester"/>
    <s v="Minnesota"/>
    <s v="Central"/>
    <s v="Office Supplies"/>
    <s v="Labels"/>
    <s v="Avery 511"/>
    <n v="6.16"/>
    <n v="2"/>
    <n v="0"/>
    <n v="2.9567999999999999"/>
  </r>
  <r>
    <n v="89"/>
    <s v="CA-2018-159695"/>
    <d v="2018-04-05T00:00:00"/>
    <s v="Second Class"/>
    <s v="Gary Mitchum"/>
    <s v="Houston"/>
    <s v="Texas"/>
    <s v="Central"/>
    <s v="Office Supplies"/>
    <s v="Storage"/>
    <s v="Eldon Portable Mobile Manager"/>
    <n v="158.36800000000002"/>
    <n v="7"/>
    <n v="0.2"/>
    <n v="13.857199999999999"/>
  </r>
  <r>
    <n v="90"/>
    <s v="CA-2018-109806"/>
    <d v="2018-09-17T00:00:00"/>
    <s v="Standard Class"/>
    <s v="Jim Sink"/>
    <s v="Los Angeles"/>
    <s v="California"/>
    <s v="West"/>
    <s v="Office Supplies"/>
    <s v="Art"/>
    <s v="Turquoise Lead Holder with Pocket Clip"/>
    <n v="20.100000000000001"/>
    <n v="3"/>
    <n v="0"/>
    <n v="6.6329999999999982"/>
  </r>
  <r>
    <n v="91"/>
    <s v="CA-2018-109806"/>
    <d v="2018-09-17T00:00:00"/>
    <s v="Standard Class"/>
    <s v="Jim Sink"/>
    <s v="Los Angeles"/>
    <s v="California"/>
    <s v="West"/>
    <s v="Technology"/>
    <s v="Phones"/>
    <s v="Panasonic Kx-TS550"/>
    <n v="73.584000000000003"/>
    <n v="2"/>
    <n v="0.2"/>
    <n v="8.2781999999999982"/>
  </r>
  <r>
    <n v="92"/>
    <s v="CA-2018-109806"/>
    <d v="2018-09-17T00:00:00"/>
    <s v="Standard Class"/>
    <s v="Jim Sink"/>
    <s v="Los Angeles"/>
    <s v="California"/>
    <s v="West"/>
    <s v="Office Supplies"/>
    <s v="Paper"/>
    <s v="Xerox 1995"/>
    <n v="6.48"/>
    <n v="1"/>
    <n v="0"/>
    <n v="3.1104000000000003"/>
  </r>
  <r>
    <n v="93"/>
    <s v="CA-2017-149587"/>
    <d v="2017-01-31T00:00:00"/>
    <s v="Second Class"/>
    <s v="Karl Braun"/>
    <s v="Minneapolis"/>
    <s v="Minnesota"/>
    <s v="Central"/>
    <s v="Office Supplies"/>
    <s v="Paper"/>
    <s v="Xerox 1999"/>
    <n v="12.96"/>
    <n v="2"/>
    <n v="0"/>
    <n v="6.2208000000000006"/>
  </r>
  <r>
    <n v="94"/>
    <s v="CA-2017-149587"/>
    <d v="2017-01-31T00:00:00"/>
    <s v="Second Class"/>
    <s v="Karl Braun"/>
    <s v="Minneapolis"/>
    <s v="Minnesota"/>
    <s v="Central"/>
    <s v="Furniture"/>
    <s v="Furnishings"/>
    <s v="Seth Thomas 13 1/2&quot; Wall Clock"/>
    <n v="53.34"/>
    <n v="3"/>
    <n v="0"/>
    <n v="16.535399999999996"/>
  </r>
  <r>
    <n v="95"/>
    <s v="CA-2017-149587"/>
    <d v="2017-01-31T00:00:00"/>
    <s v="Second Class"/>
    <s v="Karl Braun"/>
    <s v="Minneapolis"/>
    <s v="Minnesota"/>
    <s v="Central"/>
    <s v="Office Supplies"/>
    <s v="Binders"/>
    <s v="Ibico Standard Transparent Covers"/>
    <n v="32.96"/>
    <n v="2"/>
    <n v="0"/>
    <n v="16.150400000000001"/>
  </r>
  <r>
    <n v="96"/>
    <s v="US-2019-109484"/>
    <d v="2019-11-06T00:00:00"/>
    <s v="Standard Class"/>
    <s v="Roger Barcio"/>
    <s v="Portland"/>
    <s v="Oregon"/>
    <s v="West"/>
    <s v="Office Supplies"/>
    <s v="Binders"/>
    <s v="Flexible Leather- Look Classic Collection Ring Binder"/>
    <n v="5.6820000000000013"/>
    <n v="1"/>
    <n v="0.7"/>
    <n v="-3.7880000000000003"/>
  </r>
  <r>
    <n v="97"/>
    <s v="CA-2019-161018"/>
    <d v="2019-11-09T00:00:00"/>
    <s v="Second Class"/>
    <s v="Parhena Norris"/>
    <s v="New York City"/>
    <s v="New York"/>
    <s v="East"/>
    <s v="Furniture"/>
    <s v="Furnishings"/>
    <s v="9-3/4 Diameter Round Wall Clock"/>
    <n v="96.53"/>
    <n v="7"/>
    <n v="0"/>
    <n v="40.5426"/>
  </r>
  <r>
    <n v="98"/>
    <s v="CA-2019-157833"/>
    <d v="2019-06-17T00:00:00"/>
    <s v="First Class"/>
    <s v="Katherine Ducich"/>
    <s v="San Francisco"/>
    <s v="California"/>
    <s v="West"/>
    <s v="Office Supplies"/>
    <s v="Binders"/>
    <s v="Trimflex Flexible Post Binders"/>
    <n v="51.311999999999998"/>
    <n v="3"/>
    <n v="0.2"/>
    <n v="17.959199999999999"/>
  </r>
  <r>
    <n v="99"/>
    <s v="CA-2018-149223"/>
    <d v="2018-09-06T00:00:00"/>
    <s v="Standard Class"/>
    <s v="Elpida Rittenbach"/>
    <s v="Saint Paul"/>
    <s v="Minnesota"/>
    <s v="Central"/>
    <s v="Office Supplies"/>
    <s v="Appliances"/>
    <s v="Fellowes Basic Home/Office Series Surge Protectors"/>
    <n v="77.88"/>
    <n v="6"/>
    <n v="0"/>
    <n v="22.585199999999993"/>
  </r>
  <r>
    <n v="100"/>
    <s v="CA-2018-158568"/>
    <d v="2018-08-29T00:00:00"/>
    <s v="Standard Class"/>
    <s v="Rick Bensley"/>
    <s v="Chicago"/>
    <s v="Illinois"/>
    <s v="Central"/>
    <s v="Office Supplies"/>
    <s v="Paper"/>
    <s v="Avery Personal Creations Heavyweight Cards"/>
    <n v="64.623999999999995"/>
    <n v="7"/>
    <n v="0.2"/>
    <n v="22.618399999999994"/>
  </r>
  <r>
    <n v="101"/>
    <s v="CA-2018-158568"/>
    <d v="2018-08-29T00:00:00"/>
    <s v="Standard Class"/>
    <s v="Rick Bensley"/>
    <s v="Chicago"/>
    <s v="Illinois"/>
    <s v="Central"/>
    <s v="Technology"/>
    <s v="Accessories"/>
    <s v="SanDisk Ultra 64 GB MicroSDHC Class 10 Memory Card"/>
    <n v="95.976000000000013"/>
    <n v="3"/>
    <n v="0.2"/>
    <n v="-10.797300000000011"/>
  </r>
  <r>
    <n v="102"/>
    <s v="CA-2018-158568"/>
    <d v="2018-08-29T00:00:00"/>
    <s v="Standard Class"/>
    <s v="Rick Bensley"/>
    <s v="Chicago"/>
    <s v="Illinois"/>
    <s v="Central"/>
    <s v="Office Supplies"/>
    <s v="Binders"/>
    <s v="Avery Hidden Tab Dividers for Binding Systems"/>
    <n v="1.7879999999999996"/>
    <n v="3"/>
    <n v="0.8"/>
    <n v="-3.0396000000000001"/>
  </r>
  <r>
    <n v="103"/>
    <s v="CA-2018-129903"/>
    <d v="2018-12-01T00:00:00"/>
    <s v="Second Class"/>
    <s v="Gary Zandusky"/>
    <s v="Rochester"/>
    <s v="Minnesota"/>
    <s v="Central"/>
    <s v="Office Supplies"/>
    <s v="Paper"/>
    <s v="Universal Premium White Copier/Laser Paper (20Lb. and 87 Bright)"/>
    <n v="23.92"/>
    <n v="4"/>
    <n v="0"/>
    <n v="11.720800000000001"/>
  </r>
  <r>
    <n v="104"/>
    <s v="US-2017-156867"/>
    <d v="2017-11-13T00:00:00"/>
    <s v="Standard Class"/>
    <s v="Lena Cacioppo"/>
    <s v="Aurora"/>
    <s v="Colorado"/>
    <s v="West"/>
    <s v="Technology"/>
    <s v="Accessories"/>
    <s v="Logitech K350 2.4Ghz Wireless Keyboard"/>
    <n v="238.89600000000002"/>
    <n v="6"/>
    <n v="0.2"/>
    <n v="-26.875800000000012"/>
  </r>
  <r>
    <n v="105"/>
    <s v="US-2017-156867"/>
    <d v="2017-11-13T00:00:00"/>
    <s v="Standard Class"/>
    <s v="Lena Cacioppo"/>
    <s v="Aurora"/>
    <s v="Colorado"/>
    <s v="West"/>
    <s v="Furniture"/>
    <s v="Furnishings"/>
    <s v="Deflect-o DuraMat Lighweight, Studded, Beveled Mat for Low Pile Carpeting"/>
    <n v="102.35999999999999"/>
    <n v="3"/>
    <n v="0.2"/>
    <n v="-3.8385000000000105"/>
  </r>
  <r>
    <n v="106"/>
    <s v="US-2017-156867"/>
    <d v="2017-11-13T00:00:00"/>
    <s v="Standard Class"/>
    <s v="Lena Cacioppo"/>
    <s v="Aurora"/>
    <s v="Colorado"/>
    <s v="West"/>
    <s v="Office Supplies"/>
    <s v="Binders"/>
    <s v="Avery Trapezoid Ring Binder, 3&quot; Capacity, Black, 1040 sheets"/>
    <n v="36.882000000000005"/>
    <n v="3"/>
    <n v="0.7"/>
    <n v="-25.817399999999999"/>
  </r>
  <r>
    <n v="107"/>
    <s v="CA-2019-119004"/>
    <d v="2019-11-23T00:00:00"/>
    <s v="Standard Class"/>
    <s v="Janet Martin"/>
    <s v="Charlotte"/>
    <s v="North Carolina"/>
    <s v="South"/>
    <s v="Technology"/>
    <s v="Accessories"/>
    <s v="Memorex Mini Travel Drive 8 GB USB 2.0 Flash Drive"/>
    <n v="74.112000000000009"/>
    <n v="8"/>
    <n v="0.2"/>
    <n v="17.601600000000001"/>
  </r>
  <r>
    <n v="108"/>
    <s v="CA-2019-119004"/>
    <d v="2019-11-23T00:00:00"/>
    <s v="Standard Class"/>
    <s v="Janet Martin"/>
    <s v="Charlotte"/>
    <s v="North Carolina"/>
    <s v="South"/>
    <s v="Technology"/>
    <s v="Phones"/>
    <s v="Speck Products Candyshell Flip Case"/>
    <n v="27.992000000000004"/>
    <n v="1"/>
    <n v="0.2"/>
    <n v="2.0993999999999993"/>
  </r>
  <r>
    <n v="109"/>
    <s v="CA-2019-119004"/>
    <d v="2019-11-23T00:00:00"/>
    <s v="Standard Class"/>
    <s v="Janet Martin"/>
    <s v="Charlotte"/>
    <s v="North Carolina"/>
    <s v="South"/>
    <s v="Office Supplies"/>
    <s v="Art"/>
    <s v="Newell Chalk Holder"/>
    <n v="3.3040000000000003"/>
    <n v="1"/>
    <n v="0.2"/>
    <n v="1.0737999999999999"/>
  </r>
  <r>
    <n v="110"/>
    <s v="CA-2017-129476"/>
    <d v="2017-10-15T00:00:00"/>
    <s v="Standard Class"/>
    <s v="Pete Armstrong"/>
    <s v="Orland Park"/>
    <s v="Illinois"/>
    <s v="Central"/>
    <s v="Technology"/>
    <s v="Accessories"/>
    <s v="Logitech Gaming G510s - Keyboard"/>
    <n v="339.96000000000004"/>
    <n v="5"/>
    <n v="0.2"/>
    <n v="67.991999999999962"/>
  </r>
  <r>
    <n v="111"/>
    <s v="CA-2019-146780"/>
    <d v="2019-12-25T00:00:00"/>
    <s v="Standard Class"/>
    <s v="Cynthia Voltz"/>
    <s v="New York City"/>
    <s v="New York"/>
    <s v="East"/>
    <s v="Furniture"/>
    <s v="Furnishings"/>
    <s v="Magnifier Swing Arm Lamp"/>
    <n v="41.96"/>
    <n v="2"/>
    <n v="0"/>
    <n v="10.909600000000001"/>
  </r>
  <r>
    <n v="112"/>
    <s v="CA-2018-128867"/>
    <d v="2018-11-03T00:00:00"/>
    <s v="Standard Class"/>
    <s v="Clay Ludtke"/>
    <s v="Urbandale"/>
    <s v="Iowa"/>
    <s v="Central"/>
    <s v="Office Supplies"/>
    <s v="Art"/>
    <s v="Hunt PowerHouse Electric Pencil Sharpener, Blue"/>
    <n v="75.959999999999994"/>
    <n v="2"/>
    <n v="0"/>
    <n v="22.78799999999999"/>
  </r>
  <r>
    <n v="113"/>
    <s v="CA-2018-128867"/>
    <d v="2018-11-03T00:00:00"/>
    <s v="Standard Class"/>
    <s v="Clay Ludtke"/>
    <s v="Urbandale"/>
    <s v="Iowa"/>
    <s v="Central"/>
    <s v="Office Supplies"/>
    <s v="Binders"/>
    <s v="Avery Durable Plastic 1&quot; Binders"/>
    <n v="27.240000000000002"/>
    <n v="6"/>
    <n v="0"/>
    <n v="13.3476"/>
  </r>
  <r>
    <n v="114"/>
    <s v="CA-2016-115259"/>
    <d v="2016-08-25T00:00:00"/>
    <s v="Second Class"/>
    <s v="Ryan Crowe"/>
    <s v="Columbus"/>
    <s v="Ohio"/>
    <s v="East"/>
    <s v="Office Supplies"/>
    <s v="Fasteners"/>
    <s v="OIC Colored Binder Clips, Assorted Sizes"/>
    <n v="40.096000000000004"/>
    <n v="14"/>
    <n v="0.2"/>
    <n v="14.534799999999997"/>
  </r>
  <r>
    <n v="115"/>
    <s v="CA-2016-115259"/>
    <d v="2016-08-25T00:00:00"/>
    <s v="Second Class"/>
    <s v="Ryan Crowe"/>
    <s v="Columbus"/>
    <s v="Ohio"/>
    <s v="East"/>
    <s v="Office Supplies"/>
    <s v="Envelopes"/>
    <s v="Redi-Strip #10 Envelopes, 4 1/8 x 9 1/2"/>
    <n v="4.7200000000000006"/>
    <n v="2"/>
    <n v="0.2"/>
    <n v="1.6519999999999997"/>
  </r>
  <r>
    <n v="116"/>
    <s v="CA-2016-115259"/>
    <d v="2016-08-25T00:00:00"/>
    <s v="Second Class"/>
    <s v="Ryan Crowe"/>
    <s v="Columbus"/>
    <s v="Ohio"/>
    <s v="East"/>
    <s v="Office Supplies"/>
    <s v="Paper"/>
    <s v="Xerox 1921"/>
    <n v="23.976000000000003"/>
    <n v="3"/>
    <n v="0.2"/>
    <n v="7.4924999999999988"/>
  </r>
  <r>
    <n v="117"/>
    <s v="CA-2016-115259"/>
    <d v="2016-08-25T00:00:00"/>
    <s v="Second Class"/>
    <s v="Ryan Crowe"/>
    <s v="Columbus"/>
    <s v="Ohio"/>
    <s v="East"/>
    <s v="Office Supplies"/>
    <s v="Envelopes"/>
    <s v="Tyvek  Top-Opening Peel &amp; Seel Envelopes, Plain White"/>
    <n v="130.464"/>
    <n v="6"/>
    <n v="0.2"/>
    <n v="44.031599999999997"/>
  </r>
  <r>
    <n v="118"/>
    <s v="CA-2017-110457"/>
    <d v="2017-03-02T00:00:00"/>
    <s v="Standard Class"/>
    <s v="Dave Kipp"/>
    <s v="Seattle"/>
    <s v="Washington"/>
    <s v="West"/>
    <s v="Furniture"/>
    <s v="Tables"/>
    <s v="Hon Racetrack Conference Tables"/>
    <n v="787.53"/>
    <n v="3"/>
    <n v="0"/>
    <n v="165.38129999999995"/>
  </r>
  <r>
    <n v="119"/>
    <s v="US-2017-136476"/>
    <d v="2017-04-05T00:00:00"/>
    <s v="Standard Class"/>
    <s v="Greg Guthrie"/>
    <s v="Bristol"/>
    <s v="Tennessee"/>
    <s v="South"/>
    <s v="Office Supplies"/>
    <s v="Binders"/>
    <s v="GBC DocuBind 300 Electric Binding Machine"/>
    <n v="157.79400000000004"/>
    <n v="1"/>
    <n v="0.7"/>
    <n v="-115.71559999999999"/>
  </r>
  <r>
    <n v="120"/>
    <s v="CA-2018-103730"/>
    <d v="2018-06-12T00:00:00"/>
    <s v="First Class"/>
    <s v="Steven Cartwright"/>
    <s v="Wilmington"/>
    <s v="Delaware"/>
    <s v="East"/>
    <s v="Furniture"/>
    <s v="Furnishings"/>
    <s v="Artistic Insta-Plaque"/>
    <n v="47.04"/>
    <n v="3"/>
    <n v="0"/>
    <n v="18.345599999999997"/>
  </r>
  <r>
    <n v="121"/>
    <s v="CA-2018-103730"/>
    <d v="2018-06-12T00:00:00"/>
    <s v="First Class"/>
    <s v="Steven Cartwright"/>
    <s v="Wilmington"/>
    <s v="Delaware"/>
    <s v="East"/>
    <s v="Office Supplies"/>
    <s v="Binders"/>
    <s v="DXL Angle-View Binders with Locking Rings by Samsill"/>
    <n v="30.84"/>
    <n v="4"/>
    <n v="0"/>
    <n v="13.878"/>
  </r>
  <r>
    <n v="122"/>
    <s v="CA-2018-103730"/>
    <d v="2018-06-12T00:00:00"/>
    <s v="First Class"/>
    <s v="Steven Cartwright"/>
    <s v="Wilmington"/>
    <s v="Delaware"/>
    <s v="East"/>
    <s v="Office Supplies"/>
    <s v="Storage"/>
    <s v="Companion Letter/Legal File, Black"/>
    <n v="226.56"/>
    <n v="6"/>
    <n v="0"/>
    <n v="63.436800000000005"/>
  </r>
  <r>
    <n v="123"/>
    <s v="CA-2018-103730"/>
    <d v="2018-06-12T00:00:00"/>
    <s v="First Class"/>
    <s v="Steven Cartwright"/>
    <s v="Wilmington"/>
    <s v="Delaware"/>
    <s v="East"/>
    <s v="Office Supplies"/>
    <s v="Envelopes"/>
    <s v="Globe Weis Peel &amp; Seel First Class Envelopes"/>
    <n v="115.02"/>
    <n v="9"/>
    <n v="0"/>
    <n v="51.758999999999993"/>
  </r>
  <r>
    <n v="124"/>
    <s v="CA-2018-103730"/>
    <d v="2018-06-12T00:00:00"/>
    <s v="First Class"/>
    <s v="Steven Cartwright"/>
    <s v="Wilmington"/>
    <s v="Delaware"/>
    <s v="East"/>
    <s v="Technology"/>
    <s v="Phones"/>
    <s v="KLD Oscar II Style Snap-on Ultra Thin Side Flip Synthetic Leather Cover Case for HTC One HTC M7"/>
    <n v="68.040000000000006"/>
    <n v="7"/>
    <n v="0"/>
    <n v="19.731599999999997"/>
  </r>
  <r>
    <n v="125"/>
    <s v="US-2016-152030"/>
    <d v="2016-12-26T00:00:00"/>
    <s v="Second Class"/>
    <s v="Alan Dominguez"/>
    <s v="Houston"/>
    <s v="Texas"/>
    <s v="Central"/>
    <s v="Furniture"/>
    <s v="Chairs"/>
    <s v="Global Deluxe High-Back Manager's Chair"/>
    <n v="600.55799999999999"/>
    <n v="3"/>
    <n v="0.3"/>
    <n v="-8.5794000000000779"/>
  </r>
  <r>
    <n v="126"/>
    <s v="US-2016-134614"/>
    <d v="2016-09-20T00:00:00"/>
    <s v="Standard Class"/>
    <s v="Philip Fox"/>
    <s v="Bloomington"/>
    <s v="Illinois"/>
    <s v="Central"/>
    <s v="Furniture"/>
    <s v="Tables"/>
    <s v="Bevis 44 x 96 Conference Tables"/>
    <n v="617.70000000000005"/>
    <n v="6"/>
    <n v="0.5"/>
    <n v="-407.68200000000013"/>
  </r>
  <r>
    <n v="127"/>
    <s v="US-2019-107272"/>
    <d v="2019-11-05T00:00:00"/>
    <s v="Standard Class"/>
    <s v="Troy Staebel"/>
    <s v="Phoenix"/>
    <s v="Arizona"/>
    <s v="West"/>
    <s v="Office Supplies"/>
    <s v="Binders"/>
    <s v="Avery Durable Slant Ring Binders, No Labels"/>
    <n v="2.3880000000000003"/>
    <n v="2"/>
    <n v="0.7"/>
    <n v="-1.8308"/>
  </r>
  <r>
    <n v="128"/>
    <s v="US-2019-107272"/>
    <d v="2019-11-05T00:00:00"/>
    <s v="Standard Class"/>
    <s v="Troy Staebel"/>
    <s v="Phoenix"/>
    <s v="Arizona"/>
    <s v="West"/>
    <s v="Office Supplies"/>
    <s v="Storage"/>
    <s v="Trav-L-File Heavy-Duty Shuttle II, Black"/>
    <n v="243.99200000000002"/>
    <n v="7"/>
    <n v="0.2"/>
    <n v="30.498999999999981"/>
  </r>
  <r>
    <n v="129"/>
    <s v="US-2018-125969"/>
    <d v="2018-11-06T00:00:00"/>
    <s v="Second Class"/>
    <s v="Lindsay Shagiari"/>
    <s v="Los Angeles"/>
    <s v="California"/>
    <s v="West"/>
    <s v="Furniture"/>
    <s v="Chairs"/>
    <s v="Global Task Chair, Black"/>
    <n v="81.424000000000007"/>
    <n v="2"/>
    <n v="0.2"/>
    <n v="-9.1601999999999961"/>
  </r>
  <r>
    <n v="130"/>
    <s v="US-2018-125969"/>
    <d v="2018-11-06T00:00:00"/>
    <s v="Second Class"/>
    <s v="Lindsay Shagiari"/>
    <s v="Los Angeles"/>
    <s v="California"/>
    <s v="West"/>
    <s v="Furniture"/>
    <s v="Furnishings"/>
    <s v="Eldon Cleatmat Plus Chair Mats for High Pile Carpets"/>
    <n v="238.56"/>
    <n v="3"/>
    <n v="0"/>
    <n v="26.241599999999977"/>
  </r>
  <r>
    <n v="131"/>
    <s v="US-2019-164147"/>
    <d v="2019-02-02T00:00:00"/>
    <s v="First Class"/>
    <s v="Dorothy Wardle"/>
    <s v="Columbus"/>
    <s v="Ohio"/>
    <s v="East"/>
    <s v="Technology"/>
    <s v="Phones"/>
    <s v="Anker 36W 4-Port USB Wall Charger Travel Power Adapter for iPhone 5s 5c 5"/>
    <n v="59.969999999999992"/>
    <n v="5"/>
    <n v="0.4"/>
    <n v="-11.993999999999993"/>
  </r>
  <r>
    <n v="132"/>
    <s v="US-2019-164147"/>
    <d v="2019-02-02T00:00:00"/>
    <s v="First Class"/>
    <s v="Dorothy Wardle"/>
    <s v="Columbus"/>
    <s v="Ohio"/>
    <s v="East"/>
    <s v="Office Supplies"/>
    <s v="Paper"/>
    <s v="Xerox 1916"/>
    <n v="78.304000000000002"/>
    <n v="2"/>
    <n v="0.2"/>
    <n v="29.363999999999997"/>
  </r>
  <r>
    <n v="133"/>
    <s v="US-2019-164147"/>
    <d v="2019-02-02T00:00:00"/>
    <s v="First Class"/>
    <s v="Dorothy Wardle"/>
    <s v="Columbus"/>
    <s v="Ohio"/>
    <s v="East"/>
    <s v="Office Supplies"/>
    <s v="Fasteners"/>
    <s v="Staples"/>
    <n v="21.456"/>
    <n v="9"/>
    <n v="0.2"/>
    <n v="6.9731999999999976"/>
  </r>
  <r>
    <n v="134"/>
    <s v="CA-2018-145583"/>
    <d v="2018-10-13T00:00:00"/>
    <s v="Standard Class"/>
    <s v="Lena Creighton"/>
    <s v="Roseville"/>
    <s v="California"/>
    <s v="West"/>
    <s v="Office Supplies"/>
    <s v="Paper"/>
    <s v="Xerox 195"/>
    <n v="20.04"/>
    <n v="3"/>
    <n v="0"/>
    <n v="9.6191999999999993"/>
  </r>
  <r>
    <n v="135"/>
    <s v="CA-2018-145583"/>
    <d v="2018-10-13T00:00:00"/>
    <s v="Standard Class"/>
    <s v="Lena Creighton"/>
    <s v="Roseville"/>
    <s v="California"/>
    <s v="West"/>
    <s v="Office Supplies"/>
    <s v="Paper"/>
    <s v="Xerox 1880"/>
    <n v="35.44"/>
    <n v="1"/>
    <n v="0"/>
    <n v="16.656799999999997"/>
  </r>
  <r>
    <n v="136"/>
    <s v="CA-2018-145583"/>
    <d v="2018-10-13T00:00:00"/>
    <s v="Standard Class"/>
    <s v="Lena Creighton"/>
    <s v="Roseville"/>
    <s v="California"/>
    <s v="West"/>
    <s v="Office Supplies"/>
    <s v="Art"/>
    <s v="Sanford Colorific Colored Pencils, 12/Box"/>
    <n v="11.52"/>
    <n v="4"/>
    <n v="0"/>
    <n v="3.4559999999999995"/>
  </r>
  <r>
    <n v="137"/>
    <s v="CA-2018-145583"/>
    <d v="2018-10-13T00:00:00"/>
    <s v="Standard Class"/>
    <s v="Lena Creighton"/>
    <s v="Roseville"/>
    <s v="California"/>
    <s v="West"/>
    <s v="Office Supplies"/>
    <s v="Fasteners"/>
    <s v="Ideal Clamps"/>
    <n v="4.0199999999999996"/>
    <n v="2"/>
    <n v="0"/>
    <n v="1.9697999999999998"/>
  </r>
  <r>
    <n v="138"/>
    <s v="CA-2018-145583"/>
    <d v="2018-10-13T00:00:00"/>
    <s v="Standard Class"/>
    <s v="Lena Creighton"/>
    <s v="Roseville"/>
    <s v="California"/>
    <s v="West"/>
    <s v="Office Supplies"/>
    <s v="Binders"/>
    <s v="GBC Wire Binding Strips"/>
    <n v="76.176000000000002"/>
    <n v="3"/>
    <n v="0.2"/>
    <n v="26.661599999999996"/>
  </r>
  <r>
    <n v="139"/>
    <s v="CA-2018-145583"/>
    <d v="2018-10-13T00:00:00"/>
    <s v="Standard Class"/>
    <s v="Lena Creighton"/>
    <s v="Roseville"/>
    <s v="California"/>
    <s v="West"/>
    <s v="Office Supplies"/>
    <s v="Supplies"/>
    <s v="Fiskars Softgrip Scissors"/>
    <n v="65.88"/>
    <n v="6"/>
    <n v="0"/>
    <n v="18.446400000000004"/>
  </r>
  <r>
    <n v="140"/>
    <s v="CA-2018-145583"/>
    <d v="2018-10-13T00:00:00"/>
    <s v="Standard Class"/>
    <s v="Lena Creighton"/>
    <s v="Roseville"/>
    <s v="California"/>
    <s v="West"/>
    <s v="Furniture"/>
    <s v="Furnishings"/>
    <s v="Longer-Life Soft White Bulbs"/>
    <n v="43.120000000000005"/>
    <n v="14"/>
    <n v="0"/>
    <n v="20.697599999999998"/>
  </r>
  <r>
    <n v="141"/>
    <s v="CA-2018-110366"/>
    <d v="2018-09-05T00:00:00"/>
    <s v="Second Class"/>
    <s v="Jonathan Doherty"/>
    <s v="Philadelphia"/>
    <s v="Pennsylvania"/>
    <s v="East"/>
    <s v="Furniture"/>
    <s v="Furnishings"/>
    <s v="Howard Miller 13-3/4&quot; Diameter Brushed Chrome Round Wall Clock"/>
    <n v="82.800000000000011"/>
    <n v="2"/>
    <n v="0.2"/>
    <n v="10.349999999999994"/>
  </r>
  <r>
    <n v="142"/>
    <s v="CA-2019-106180"/>
    <d v="2019-09-18T00:00:00"/>
    <s v="Standard Class"/>
    <s v="Sally Hughsby"/>
    <s v="San Francisco"/>
    <s v="California"/>
    <s v="West"/>
    <s v="Office Supplies"/>
    <s v="Art"/>
    <s v="Newell 343"/>
    <n v="8.82"/>
    <n v="3"/>
    <n v="0"/>
    <n v="2.3814000000000002"/>
  </r>
  <r>
    <n v="143"/>
    <s v="CA-2019-106180"/>
    <d v="2019-09-18T00:00:00"/>
    <s v="Standard Class"/>
    <s v="Sally Hughsby"/>
    <s v="San Francisco"/>
    <s v="California"/>
    <s v="West"/>
    <s v="Office Supplies"/>
    <s v="Envelopes"/>
    <s v="Convenience Packs of Business Envelopes"/>
    <n v="10.86"/>
    <n v="3"/>
    <n v="0"/>
    <n v="5.1042000000000005"/>
  </r>
  <r>
    <n v="144"/>
    <s v="CA-2019-106180"/>
    <d v="2019-09-18T00:00:00"/>
    <s v="Standard Class"/>
    <s v="Sally Hughsby"/>
    <s v="San Francisco"/>
    <s v="California"/>
    <s v="West"/>
    <s v="Office Supplies"/>
    <s v="Paper"/>
    <s v="Xerox 1911"/>
    <n v="143.69999999999999"/>
    <n v="3"/>
    <n v="0"/>
    <n v="68.975999999999999"/>
  </r>
  <r>
    <n v="145"/>
    <s v="CA-2019-155376"/>
    <d v="2019-12-22T00:00:00"/>
    <s v="Standard Class"/>
    <s v="Sandra Glassco"/>
    <s v="Independence"/>
    <s v="Missouri"/>
    <s v="Central"/>
    <s v="Office Supplies"/>
    <s v="Appliances"/>
    <s v="Sanyo 2.5 Cubic Foot Mid-Size Office Refrigerators"/>
    <n v="839.43000000000006"/>
    <n v="3"/>
    <n v="0"/>
    <n v="218.25179999999997"/>
  </r>
  <r>
    <n v="146"/>
    <s v="CA-2017-110744"/>
    <d v="2017-09-07T00:00:00"/>
    <s v="Standard Class"/>
    <s v="Helen Andreada"/>
    <s v="Pasadena"/>
    <s v="California"/>
    <s v="West"/>
    <s v="Office Supplies"/>
    <s v="Storage"/>
    <s v="Safco Industrial Wire Shelving"/>
    <n v="671.93"/>
    <n v="7"/>
    <n v="0"/>
    <n v="20.157899999999998"/>
  </r>
  <r>
    <n v="147"/>
    <s v="CA-2016-110072"/>
    <d v="2016-10-22T00:00:00"/>
    <s v="Standard Class"/>
    <s v="Maureen Gastineau"/>
    <s v="Newark"/>
    <s v="Ohio"/>
    <s v="East"/>
    <s v="Furniture"/>
    <s v="Furnishings"/>
    <s v="Seth Thomas 14&quot; Putty-Colored Wall Clock"/>
    <n v="93.888000000000005"/>
    <n v="4"/>
    <n v="0.2"/>
    <n v="12.90959999999999"/>
  </r>
  <r>
    <n v="148"/>
    <s v="CA-2018-114489"/>
    <d v="2018-12-05T00:00:00"/>
    <s v="Standard Class"/>
    <s v="Justin Ellison"/>
    <s v="Franklin"/>
    <s v="Wisconsin"/>
    <s v="Central"/>
    <s v="Technology"/>
    <s v="Phones"/>
    <s v="Plantronics Cordless Phone Headset with In-line Volume - M214C"/>
    <n v="384.45000000000005"/>
    <n v="11"/>
    <n v="0"/>
    <n v="103.80150000000003"/>
  </r>
  <r>
    <n v="149"/>
    <s v="CA-2018-114489"/>
    <d v="2018-12-05T00:00:00"/>
    <s v="Standard Class"/>
    <s v="Justin Ellison"/>
    <s v="Franklin"/>
    <s v="Wisconsin"/>
    <s v="Central"/>
    <s v="Technology"/>
    <s v="Phones"/>
    <s v="Anker Astro 15000mAh USB Portable Charger"/>
    <n v="149.97"/>
    <n v="3"/>
    <n v="0"/>
    <n v="5.9987999999999815"/>
  </r>
  <r>
    <n v="150"/>
    <s v="CA-2018-114489"/>
    <d v="2018-12-05T00:00:00"/>
    <s v="Standard Class"/>
    <s v="Justin Ellison"/>
    <s v="Franklin"/>
    <s v="Wisconsin"/>
    <s v="Central"/>
    <s v="Furniture"/>
    <s v="Chairs"/>
    <s v="Hon Deluxe Fabric Upholstered Stacking Chairs, Rounded Back"/>
    <n v="1951.84"/>
    <n v="8"/>
    <n v="0"/>
    <n v="585.55199999999991"/>
  </r>
  <r>
    <n v="151"/>
    <s v="CA-2018-114489"/>
    <d v="2018-12-05T00:00:00"/>
    <s v="Standard Class"/>
    <s v="Justin Ellison"/>
    <s v="Franklin"/>
    <s v="Wisconsin"/>
    <s v="Central"/>
    <s v="Office Supplies"/>
    <s v="Binders"/>
    <s v="GBC Prestige Therm-A-Bind Covers"/>
    <n v="171.55"/>
    <n v="5"/>
    <n v="0"/>
    <n v="80.628500000000003"/>
  </r>
  <r>
    <n v="152"/>
    <s v="CA-2018-158834"/>
    <d v="2018-03-13T00:00:00"/>
    <s v="First Class"/>
    <s v="Tamara Willingham"/>
    <s v="Scottsdale"/>
    <s v="Arizona"/>
    <s v="West"/>
    <s v="Office Supplies"/>
    <s v="Appliances"/>
    <s v="Belkin 7 Outlet SurgeMaster Surge Protector with Phone Protection"/>
    <n v="157.91999999999999"/>
    <n v="5"/>
    <n v="0.2"/>
    <n v="17.765999999999991"/>
  </r>
  <r>
    <n v="153"/>
    <s v="CA-2018-158834"/>
    <d v="2018-03-13T00:00:00"/>
    <s v="First Class"/>
    <s v="Tamara Willingham"/>
    <s v="Scottsdale"/>
    <s v="Arizona"/>
    <s v="West"/>
    <s v="Technology"/>
    <s v="Phones"/>
    <s v="Jabra BIZ 2300 Duo QD Duo Corded Headset"/>
    <n v="203.184"/>
    <n v="2"/>
    <n v="0.2"/>
    <n v="15.238799999999991"/>
  </r>
  <r>
    <n v="154"/>
    <s v="CA-2017-124919"/>
    <d v="2017-05-31T00:00:00"/>
    <s v="First Class"/>
    <s v="Stephanie Phelps"/>
    <s v="San Jose"/>
    <s v="California"/>
    <s v="West"/>
    <s v="Office Supplies"/>
    <s v="Paper"/>
    <s v="Southworth 25% Cotton Antique Laid Paper &amp; Envelopes"/>
    <n v="58.379999999999995"/>
    <n v="7"/>
    <n v="0"/>
    <n v="26.270999999999994"/>
  </r>
  <r>
    <n v="155"/>
    <s v="CA-2017-124919"/>
    <d v="2017-05-31T00:00:00"/>
    <s v="First Class"/>
    <s v="Stephanie Phelps"/>
    <s v="San Jose"/>
    <s v="California"/>
    <s v="West"/>
    <s v="Office Supplies"/>
    <s v="Paper"/>
    <s v="Xerox 1883"/>
    <n v="105.52"/>
    <n v="4"/>
    <n v="0"/>
    <n v="48.539199999999994"/>
  </r>
  <r>
    <n v="156"/>
    <s v="CA-2017-124919"/>
    <d v="2017-05-31T00:00:00"/>
    <s v="First Class"/>
    <s v="Stephanie Phelps"/>
    <s v="San Jose"/>
    <s v="California"/>
    <s v="West"/>
    <s v="Office Supplies"/>
    <s v="Storage"/>
    <s v="Tenex Personal Project File with Scoop Front Design, Black"/>
    <n v="80.88"/>
    <n v="6"/>
    <n v="0"/>
    <n v="21.028799999999997"/>
  </r>
  <r>
    <n v="157"/>
    <s v="CA-2017-118948"/>
    <d v="2017-05-28T00:00:00"/>
    <s v="Standard Class"/>
    <s v="Neil Knudson"/>
    <s v="Seattle"/>
    <s v="Washington"/>
    <s v="West"/>
    <s v="Office Supplies"/>
    <s v="Art"/>
    <s v="Newell 311"/>
    <n v="6.63"/>
    <n v="3"/>
    <n v="0"/>
    <n v="1.7901"/>
  </r>
  <r>
    <n v="158"/>
    <s v="CA-2016-104269"/>
    <d v="2016-03-01T00:00:00"/>
    <s v="Second Class"/>
    <s v="Dave Brooks"/>
    <s v="Seattle"/>
    <s v="Washington"/>
    <s v="West"/>
    <s v="Furniture"/>
    <s v="Chairs"/>
    <s v="Global Deluxe High-Back Manager's Chair"/>
    <n v="457.56800000000004"/>
    <n v="2"/>
    <n v="0.2"/>
    <n v="51.476399999999941"/>
  </r>
  <r>
    <n v="159"/>
    <s v="CA-2018-114104"/>
    <d v="2018-11-20T00:00:00"/>
    <s v="Standard Class"/>
    <s v="Nora Paige"/>
    <s v="Edmond"/>
    <s v="Oklahoma"/>
    <s v="Central"/>
    <s v="Office Supplies"/>
    <s v="Labels"/>
    <s v="Avery 519"/>
    <n v="14.62"/>
    <n v="2"/>
    <n v="0"/>
    <n v="6.8713999999999995"/>
  </r>
  <r>
    <n v="160"/>
    <s v="CA-2018-114104"/>
    <d v="2018-11-20T00:00:00"/>
    <s v="Standard Class"/>
    <s v="Nora Paige"/>
    <s v="Edmond"/>
    <s v="Oklahoma"/>
    <s v="Central"/>
    <s v="Technology"/>
    <s v="Phones"/>
    <s v="Avaya 5420 Digital phone"/>
    <n v="944.93000000000006"/>
    <n v="7"/>
    <n v="0"/>
    <n v="236.23250000000002"/>
  </r>
  <r>
    <n v="161"/>
    <s v="CA-2018-162733"/>
    <d v="2018-05-11T00:00:00"/>
    <s v="First Class"/>
    <s v="Ted Trevino"/>
    <s v="Los Angeles"/>
    <s v="California"/>
    <s v="West"/>
    <s v="Office Supplies"/>
    <s v="Paper"/>
    <s v="Xerox 1920"/>
    <n v="5.98"/>
    <n v="1"/>
    <n v="0"/>
    <n v="2.6909999999999998"/>
  </r>
  <r>
    <n v="162"/>
    <s v="CA-2017-119697"/>
    <d v="2017-12-28T00:00:00"/>
    <s v="Second Class"/>
    <s v="Eric Murdock"/>
    <s v="Philadelphia"/>
    <s v="Pennsylvania"/>
    <s v="East"/>
    <s v="Technology"/>
    <s v="Accessories"/>
    <s v="Lenovo 17-Key USB Numeric Keypad"/>
    <n v="54.384000000000007"/>
    <n v="2"/>
    <n v="0.2"/>
    <n v="1.359599999999995"/>
  </r>
  <r>
    <n v="163"/>
    <s v="CA-2018-154508"/>
    <d v="2018-11-16T00:00:00"/>
    <s v="Standard Class"/>
    <s v="Ruben Dartt"/>
    <s v="Carlsbad"/>
    <s v="New Mexico"/>
    <s v="West"/>
    <s v="Office Supplies"/>
    <s v="Envelopes"/>
    <s v="Staple envelope"/>
    <n v="28.4"/>
    <n v="5"/>
    <n v="0"/>
    <n v="13.347999999999997"/>
  </r>
  <r>
    <n v="164"/>
    <s v="CA-2018-113817"/>
    <d v="2018-11-07T00:00:00"/>
    <s v="Standard Class"/>
    <s v="Max Jones"/>
    <s v="Seattle"/>
    <s v="Washington"/>
    <s v="West"/>
    <s v="Office Supplies"/>
    <s v="Binders"/>
    <s v="Wilson Jones International Size A4 Ring Binders"/>
    <n v="27.680000000000003"/>
    <n v="2"/>
    <n v="0.2"/>
    <n v="9.6879999999999988"/>
  </r>
  <r>
    <n v="165"/>
    <s v="CA-2016-139892"/>
    <d v="2016-09-08T00:00:00"/>
    <s v="Standard Class"/>
    <s v="Becky Martin"/>
    <s v="San Antonio"/>
    <s v="Texas"/>
    <s v="Central"/>
    <s v="Office Supplies"/>
    <s v="Art"/>
    <s v="BIC Brite Liner Highlighters"/>
    <n v="9.9359999999999999"/>
    <n v="3"/>
    <n v="0.2"/>
    <n v="2.7324000000000002"/>
  </r>
  <r>
    <n v="166"/>
    <s v="CA-2016-139892"/>
    <d v="2016-09-08T00:00:00"/>
    <s v="Standard Class"/>
    <s v="Becky Martin"/>
    <s v="San Antonio"/>
    <s v="Texas"/>
    <s v="Central"/>
    <s v="Technology"/>
    <s v="Machines"/>
    <s v="Lexmark MX611dhe Monochrome Laser Printer"/>
    <n v="8159.9519999999993"/>
    <n v="8"/>
    <n v="0.4"/>
    <n v="-1359.992000000002"/>
  </r>
  <r>
    <n v="167"/>
    <s v="CA-2016-139892"/>
    <d v="2016-09-08T00:00:00"/>
    <s v="Standard Class"/>
    <s v="Becky Martin"/>
    <s v="San Antonio"/>
    <s v="Texas"/>
    <s v="Central"/>
    <s v="Office Supplies"/>
    <s v="Storage"/>
    <s v="Space Solutions HD Industrial Steel Shelving."/>
    <n v="275.928"/>
    <n v="3"/>
    <n v="0.2"/>
    <n v="-58.634699999999995"/>
  </r>
  <r>
    <n v="168"/>
    <s v="CA-2016-139892"/>
    <d v="2016-09-08T00:00:00"/>
    <s v="Standard Class"/>
    <s v="Becky Martin"/>
    <s v="San Antonio"/>
    <s v="Texas"/>
    <s v="Central"/>
    <s v="Furniture"/>
    <s v="Chairs"/>
    <s v="SAFCO Arco Folding Chair"/>
    <n v="1740.0599999999997"/>
    <n v="9"/>
    <n v="0.3"/>
    <n v="-24.858000000000175"/>
  </r>
  <r>
    <n v="169"/>
    <s v="CA-2016-139892"/>
    <d v="2016-09-08T00:00:00"/>
    <s v="Standard Class"/>
    <s v="Becky Martin"/>
    <s v="San Antonio"/>
    <s v="Texas"/>
    <s v="Central"/>
    <s v="Office Supplies"/>
    <s v="Art"/>
    <s v="Sanford Liquid Accent Highlighters"/>
    <n v="32.064"/>
    <n v="6"/>
    <n v="0.2"/>
    <n v="6.8135999999999974"/>
  </r>
  <r>
    <n v="170"/>
    <s v="CA-2016-139892"/>
    <d v="2016-09-08T00:00:00"/>
    <s v="Standard Class"/>
    <s v="Becky Martin"/>
    <s v="San Antonio"/>
    <s v="Texas"/>
    <s v="Central"/>
    <s v="Office Supplies"/>
    <s v="Appliances"/>
    <s v="Kensington 7 Outlet MasterPiece Power Center"/>
    <n v="177.97999999999996"/>
    <n v="5"/>
    <n v="0.8"/>
    <n v="-453.84900000000005"/>
  </r>
  <r>
    <n v="171"/>
    <s v="CA-2016-139892"/>
    <d v="2016-09-08T00:00:00"/>
    <s v="Standard Class"/>
    <s v="Becky Martin"/>
    <s v="San Antonio"/>
    <s v="Texas"/>
    <s v="Central"/>
    <s v="Technology"/>
    <s v="Phones"/>
    <s v="JBL Micro Wireless Portable Bluetooth Speaker"/>
    <n v="143.976"/>
    <n v="3"/>
    <n v="0.2"/>
    <n v="8.998500000000007"/>
  </r>
  <r>
    <n v="172"/>
    <s v="CA-2016-118962"/>
    <d v="2016-08-05T00:00:00"/>
    <s v="Standard Class"/>
    <s v="Chad Sievert"/>
    <s v="Los Angeles"/>
    <s v="California"/>
    <s v="West"/>
    <s v="Office Supplies"/>
    <s v="Paper"/>
    <s v="Adams Phone Message Book, Professional, 400 Message Capacity, 5 3/6” x 11”"/>
    <n v="20.94"/>
    <n v="3"/>
    <n v="0"/>
    <n v="9.841800000000001"/>
  </r>
  <r>
    <n v="173"/>
    <s v="CA-2016-118962"/>
    <d v="2016-08-05T00:00:00"/>
    <s v="Standard Class"/>
    <s v="Chad Sievert"/>
    <s v="Los Angeles"/>
    <s v="California"/>
    <s v="West"/>
    <s v="Office Supplies"/>
    <s v="Paper"/>
    <s v="Xerox 1913"/>
    <n v="110.96"/>
    <n v="2"/>
    <n v="0"/>
    <n v="53.260799999999996"/>
  </r>
  <r>
    <n v="174"/>
    <s v="CA-2016-118962"/>
    <d v="2016-08-05T00:00:00"/>
    <s v="Standard Class"/>
    <s v="Chad Sievert"/>
    <s v="Los Angeles"/>
    <s v="California"/>
    <s v="West"/>
    <s v="Furniture"/>
    <s v="Chairs"/>
    <s v="Global Value Steno Chair, Gray"/>
    <n v="340.14400000000006"/>
    <n v="7"/>
    <n v="0.2"/>
    <n v="21.259"/>
  </r>
  <r>
    <n v="175"/>
    <s v="US-2016-100853"/>
    <d v="2016-09-14T00:00:00"/>
    <s v="Standard Class"/>
    <s v="Jennifer Braxton"/>
    <s v="Chicago"/>
    <s v="Illinois"/>
    <s v="Central"/>
    <s v="Office Supplies"/>
    <s v="Appliances"/>
    <s v="Kensington 7 Outlet MasterPiece HOMEOFFICE Power Control Center"/>
    <n v="52.447999999999993"/>
    <n v="2"/>
    <n v="0.8"/>
    <n v="-131.12000000000003"/>
  </r>
  <r>
    <n v="176"/>
    <s v="US-2016-100853"/>
    <d v="2016-09-14T00:00:00"/>
    <s v="Standard Class"/>
    <s v="Jennifer Braxton"/>
    <s v="Chicago"/>
    <s v="Illinois"/>
    <s v="Central"/>
    <s v="Office Supplies"/>
    <s v="Labels"/>
    <s v="Avery 51"/>
    <n v="20.16"/>
    <n v="4"/>
    <n v="0.2"/>
    <n v="6.5519999999999987"/>
  </r>
  <r>
    <n v="177"/>
    <s v="US-2019-152366"/>
    <d v="2019-04-21T00:00:00"/>
    <s v="Second Class"/>
    <s v="Shirley Jackson"/>
    <s v="Houston"/>
    <s v="Texas"/>
    <s v="Central"/>
    <s v="Office Supplies"/>
    <s v="Appliances"/>
    <s v="Acco 7-Outlet Masterpiece Power Center, Wihtout Fax/Phone Line Protection"/>
    <n v="97.263999999999982"/>
    <n v="4"/>
    <n v="0.8"/>
    <n v="-243.16000000000008"/>
  </r>
  <r>
    <n v="178"/>
    <s v="US-2017-101511"/>
    <d v="2017-11-21T00:00:00"/>
    <s v="Second Class"/>
    <s v="Joel Eaton"/>
    <s v="Newark"/>
    <s v="Ohio"/>
    <s v="East"/>
    <s v="Furniture"/>
    <s v="Chairs"/>
    <s v="Padded Folding Chairs, Black, 4/Carton"/>
    <n v="396.80200000000002"/>
    <n v="7"/>
    <n v="0.3"/>
    <n v="-11.337199999999939"/>
  </r>
  <r>
    <n v="179"/>
    <s v="US-2017-101511"/>
    <d v="2017-11-21T00:00:00"/>
    <s v="Second Class"/>
    <s v="Joel Eaton"/>
    <s v="Newark"/>
    <s v="Ohio"/>
    <s v="East"/>
    <s v="Office Supplies"/>
    <s v="Supplies"/>
    <s v="Acme Rosewood Handle Letter Opener"/>
    <n v="15.88"/>
    <n v="5"/>
    <n v="0.2"/>
    <n v="-3.771500000000001"/>
  </r>
  <r>
    <n v="180"/>
    <s v="CA-2017-137225"/>
    <d v="2017-12-15T00:00:00"/>
    <s v="Standard Class"/>
    <s v="Jim Kriz"/>
    <s v="New York City"/>
    <s v="New York"/>
    <s v="East"/>
    <s v="Office Supplies"/>
    <s v="Art"/>
    <s v="Sanford Colorific Eraseable Coloring Pencils, 12 Count"/>
    <n v="3.28"/>
    <n v="1"/>
    <n v="0"/>
    <n v="1.4104000000000001"/>
  </r>
  <r>
    <n v="181"/>
    <s v="CA-2016-166191"/>
    <d v="2016-12-05T00:00:00"/>
    <s v="Second Class"/>
    <s v="David Kendrick"/>
    <s v="Decatur"/>
    <s v="Illinois"/>
    <s v="Central"/>
    <s v="Office Supplies"/>
    <s v="Storage"/>
    <s v="Tenex File Box, Personal Filing Tote with Lid, Black"/>
    <n v="24.816000000000003"/>
    <n v="2"/>
    <n v="0.2"/>
    <n v="1.8612000000000002"/>
  </r>
  <r>
    <n v="182"/>
    <s v="CA-2016-166191"/>
    <d v="2016-12-05T00:00:00"/>
    <s v="Second Class"/>
    <s v="David Kendrick"/>
    <s v="Decatur"/>
    <s v="Illinois"/>
    <s v="Central"/>
    <s v="Technology"/>
    <s v="Accessories"/>
    <s v="Imation Secure+ Hardware Encrypted USB 2.0 Flash Drive; 16GB"/>
    <n v="408.74399999999997"/>
    <n v="7"/>
    <n v="0.2"/>
    <n v="76.639499999999984"/>
  </r>
  <r>
    <n v="183"/>
    <s v="CA-2016-158274"/>
    <d v="2016-11-19T00:00:00"/>
    <s v="Second Class"/>
    <s v="Robert Marley"/>
    <s v="Monroe"/>
    <s v="Louisiana"/>
    <s v="South"/>
    <s v="Technology"/>
    <s v="Phones"/>
    <s v="AT&amp;T TR1909W"/>
    <n v="503.96"/>
    <n v="4"/>
    <n v="0"/>
    <n v="131.02960000000002"/>
  </r>
  <r>
    <n v="184"/>
    <s v="CA-2016-158274"/>
    <d v="2016-11-19T00:00:00"/>
    <s v="Second Class"/>
    <s v="Robert Marley"/>
    <s v="Monroe"/>
    <s v="Louisiana"/>
    <s v="South"/>
    <s v="Technology"/>
    <s v="Phones"/>
    <s v="Nokia Lumia 521 (T-Mobile)"/>
    <n v="149.94999999999999"/>
    <n v="5"/>
    <n v="0"/>
    <n v="41.986000000000004"/>
  </r>
  <r>
    <n v="185"/>
    <s v="CA-2016-158274"/>
    <d v="2016-11-19T00:00:00"/>
    <s v="Second Class"/>
    <s v="Robert Marley"/>
    <s v="Monroe"/>
    <s v="Louisiana"/>
    <s v="South"/>
    <s v="Technology"/>
    <s v="Accessories"/>
    <s v="HP Standard 104 key PS/2 Keyboard"/>
    <n v="29"/>
    <n v="2"/>
    <n v="0"/>
    <n v="7.25"/>
  </r>
  <r>
    <n v="186"/>
    <s v="CA-2018-105018"/>
    <d v="2018-11-28T00:00:00"/>
    <s v="Standard Class"/>
    <s v="Sally Knutson"/>
    <s v="Fairfield"/>
    <s v="Connecticut"/>
    <s v="East"/>
    <s v="Office Supplies"/>
    <s v="Binders"/>
    <s v="Avery Poly Binder Pockets"/>
    <n v="7.16"/>
    <n v="2"/>
    <n v="0"/>
    <n v="3.4367999999999999"/>
  </r>
  <r>
    <n v="187"/>
    <s v="CA-2016-123260"/>
    <d v="2016-08-26T00:00:00"/>
    <s v="Standard Class"/>
    <s v="Frank Merwin"/>
    <s v="Los Angeles"/>
    <s v="California"/>
    <s v="West"/>
    <s v="Technology"/>
    <s v="Accessories"/>
    <s v="SanDisk Ultra 32 GB MicroSDHC Class 10 Memory Card"/>
    <n v="176.8"/>
    <n v="8"/>
    <n v="0"/>
    <n v="22.984000000000009"/>
  </r>
  <r>
    <n v="188"/>
    <s v="CA-2018-157000"/>
    <d v="2018-07-16T00:00:00"/>
    <s v="Standard Class"/>
    <s v="Alice McCarthy"/>
    <s v="Grand Prairie"/>
    <s v="Texas"/>
    <s v="Central"/>
    <s v="Office Supplies"/>
    <s v="Storage"/>
    <s v="Personal Filing Tote with Lid, Black/Gray"/>
    <n v="37.224000000000004"/>
    <n v="3"/>
    <n v="0.2"/>
    <n v="3.7224000000000004"/>
  </r>
  <r>
    <n v="189"/>
    <s v="CA-2018-157000"/>
    <d v="2018-07-16T00:00:00"/>
    <s v="Standard Class"/>
    <s v="Alice McCarthy"/>
    <s v="Grand Prairie"/>
    <s v="Texas"/>
    <s v="Central"/>
    <s v="Office Supplies"/>
    <s v="Paper"/>
    <s v="Southworth 25% Cotton Antique Laid Paper &amp; Envelopes"/>
    <n v="20.016000000000002"/>
    <n v="3"/>
    <n v="0.2"/>
    <n v="6.2549999999999963"/>
  </r>
  <r>
    <n v="190"/>
    <s v="CA-2017-102281"/>
    <d v="2017-10-12T00:00:00"/>
    <s v="First Class"/>
    <s v="Mark Packer"/>
    <s v="New York City"/>
    <s v="New York"/>
    <s v="East"/>
    <s v="Furniture"/>
    <s v="Bookcases"/>
    <s v="Atlantic Metals Mobile 4-Shelf Bookcases, Custom Colors"/>
    <n v="899.13600000000008"/>
    <n v="4"/>
    <n v="0.2"/>
    <n v="112.39199999999991"/>
  </r>
  <r>
    <n v="191"/>
    <s v="CA-2017-102281"/>
    <d v="2017-10-12T00:00:00"/>
    <s v="First Class"/>
    <s v="Mark Packer"/>
    <s v="New York City"/>
    <s v="New York"/>
    <s v="East"/>
    <s v="Technology"/>
    <s v="Phones"/>
    <s v="I Need's 3d Hello Kitty Hybrid Silicone Case Cover for HTC One X 4g with 3d Hello Kitty Stylus Pen Green/pink"/>
    <n v="71.760000000000005"/>
    <n v="6"/>
    <n v="0"/>
    <n v="20.092800000000004"/>
  </r>
  <r>
    <n v="192"/>
    <s v="CA-2017-102281"/>
    <d v="2017-10-12T00:00:00"/>
    <s v="First Class"/>
    <s v="Mark Packer"/>
    <s v="New York City"/>
    <s v="New York"/>
    <s v="East"/>
    <s v="Office Supplies"/>
    <s v="Paper"/>
    <s v="Xerox 205"/>
    <n v="51.84"/>
    <n v="8"/>
    <n v="0"/>
    <n v="24.883200000000002"/>
  </r>
  <r>
    <n v="193"/>
    <s v="CA-2017-102281"/>
    <d v="2017-10-12T00:00:00"/>
    <s v="First Class"/>
    <s v="Mark Packer"/>
    <s v="New York City"/>
    <s v="New York"/>
    <s v="East"/>
    <s v="Furniture"/>
    <s v="Bookcases"/>
    <s v="Atlantic Metals Mobile 3-Shelf Bookcases, Custom Colors"/>
    <n v="626.35200000000009"/>
    <n v="3"/>
    <n v="0.2"/>
    <n v="46.976400000000012"/>
  </r>
  <r>
    <n v="194"/>
    <s v="CA-2017-102281"/>
    <d v="2017-10-12T00:00:00"/>
    <s v="First Class"/>
    <s v="Mark Packer"/>
    <s v="New York City"/>
    <s v="New York"/>
    <s v="East"/>
    <s v="Office Supplies"/>
    <s v="Art"/>
    <s v="4009 Highlighters by Sanford"/>
    <n v="19.899999999999999"/>
    <n v="5"/>
    <n v="0"/>
    <n v="6.5669999999999984"/>
  </r>
  <r>
    <n v="195"/>
    <s v="CA-2017-131457"/>
    <d v="2017-10-31T00:00:00"/>
    <s v="Standard Class"/>
    <s v="Mary Zewe"/>
    <s v="Redlands"/>
    <s v="California"/>
    <s v="West"/>
    <s v="Office Supplies"/>
    <s v="Envelopes"/>
    <s v="Poly String Tie Envelopes"/>
    <n v="14.280000000000001"/>
    <n v="7"/>
    <n v="0"/>
    <n v="6.7115999999999989"/>
  </r>
  <r>
    <n v="196"/>
    <s v="CA-2016-140004"/>
    <d v="2016-03-21T00:00:00"/>
    <s v="Standard Class"/>
    <s v="Cassandra Brandow"/>
    <s v="Hamilton"/>
    <s v="Ohio"/>
    <s v="East"/>
    <s v="Office Supplies"/>
    <s v="Art"/>
    <s v="Binney &amp; Smith Crayola Metallic Colored Pencils, 8-Color Set"/>
    <n v="7.4080000000000004"/>
    <n v="2"/>
    <n v="0.2"/>
    <n v="1.2037999999999995"/>
  </r>
  <r>
    <n v="197"/>
    <s v="CA-2016-140004"/>
    <d v="2016-03-21T00:00:00"/>
    <s v="Standard Class"/>
    <s v="Cassandra Brandow"/>
    <s v="Hamilton"/>
    <s v="Ohio"/>
    <s v="East"/>
    <s v="Office Supplies"/>
    <s v="Art"/>
    <s v="Binney &amp; Smith inkTank Erasable Desk Highlighter, Chisel Tip, Yellow, 12/Box"/>
    <n v="6.048"/>
    <n v="3"/>
    <n v="0.2"/>
    <n v="1.5876000000000006"/>
  </r>
  <r>
    <n v="198"/>
    <s v="CA-2019-107720"/>
    <d v="2019-11-06T00:00:00"/>
    <s v="Standard Class"/>
    <s v="Valerie Mitchum"/>
    <s v="Westfield"/>
    <s v="New Jersey"/>
    <s v="East"/>
    <s v="Office Supplies"/>
    <s v="Storage"/>
    <s v="Decoflex Hanging Personal Folder File"/>
    <n v="46.26"/>
    <n v="3"/>
    <n v="0"/>
    <n v="12.0276"/>
  </r>
  <r>
    <n v="199"/>
    <s v="US-2019-124303"/>
    <d v="2019-07-06T00:00:00"/>
    <s v="Standard Class"/>
    <s v="Fred Hopkins"/>
    <s v="Philadelphia"/>
    <s v="Pennsylvania"/>
    <s v="East"/>
    <s v="Office Supplies"/>
    <s v="Binders"/>
    <s v="Pressboard Covers with Storage Hooks, 9 1/2&quot; x 11&quot;, Light Blue"/>
    <n v="2.9460000000000006"/>
    <n v="2"/>
    <n v="0.7"/>
    <n v="-2.2585999999999995"/>
  </r>
  <r>
    <n v="200"/>
    <s v="US-2019-124303"/>
    <d v="2019-07-06T00:00:00"/>
    <s v="Standard Class"/>
    <s v="Fred Hopkins"/>
    <s v="Philadelphia"/>
    <s v="Pennsylvania"/>
    <s v="East"/>
    <s v="Office Supplies"/>
    <s v="Paper"/>
    <s v="Wirebound Message Books, 5-1/2 x 4 Forms, 2 or 4 Forms per Page"/>
    <n v="16.056000000000001"/>
    <n v="3"/>
    <n v="0.2"/>
    <n v="5.8203000000000005"/>
  </r>
  <r>
    <n v="201"/>
    <s v="CA-2019-105074"/>
    <d v="2019-06-24T00:00:00"/>
    <s v="Standard Class"/>
    <s v="Maria Bertelson"/>
    <s v="Akron"/>
    <s v="Ohio"/>
    <s v="East"/>
    <s v="Office Supplies"/>
    <s v="Paper"/>
    <s v="Southworth 25% Cotton Linen-Finish Paper &amp; Envelopes"/>
    <n v="21.744000000000003"/>
    <n v="3"/>
    <n v="0.2"/>
    <n v="6.794999999999999"/>
  </r>
  <r>
    <n v="202"/>
    <s v="CA-2016-133690"/>
    <d v="2016-08-03T00:00:00"/>
    <s v="First Class"/>
    <s v="Bruce Stewart"/>
    <s v="Denver"/>
    <s v="Colorado"/>
    <s v="West"/>
    <s v="Furniture"/>
    <s v="Tables"/>
    <s v="BoxOffice By Design Rectangular and Half-Moon Meeting Room Tables"/>
    <n v="218.75"/>
    <n v="2"/>
    <n v="0.5"/>
    <n v="-161.875"/>
  </r>
  <r>
    <n v="203"/>
    <s v="CA-2016-133690"/>
    <d v="2016-08-03T00:00:00"/>
    <s v="First Class"/>
    <s v="Bruce Stewart"/>
    <s v="Denver"/>
    <s v="Colorado"/>
    <s v="West"/>
    <s v="Office Supplies"/>
    <s v="Appliances"/>
    <s v="Bravo II Megaboss 12-Amp Hard Body Upright, Replacement Belts, 2 Belts per Pack"/>
    <n v="2.6"/>
    <n v="1"/>
    <n v="0.2"/>
    <n v="0.29249999999999987"/>
  </r>
  <r>
    <n v="204"/>
    <s v="US-2019-116701"/>
    <d v="2019-12-17T00:00:00"/>
    <s v="Second Class"/>
    <s v="Logan Currie"/>
    <s v="Dallas"/>
    <s v="Texas"/>
    <s v="Central"/>
    <s v="Office Supplies"/>
    <s v="Appliances"/>
    <s v="Eureka Sanitaire  Commercial Upright"/>
    <n v="66.283999999999992"/>
    <n v="2"/>
    <n v="0.8"/>
    <n v="-178.96680000000001"/>
  </r>
  <r>
    <n v="205"/>
    <s v="CA-2019-126382"/>
    <d v="2019-06-03T00:00:00"/>
    <s v="Standard Class"/>
    <s v="Heather Kirkland"/>
    <s v="Franklin"/>
    <s v="Tennessee"/>
    <s v="South"/>
    <s v="Furniture"/>
    <s v="Furnishings"/>
    <s v="Eldon 200 Class Desk Accessories, Burgundy"/>
    <n v="35.168000000000006"/>
    <n v="7"/>
    <n v="0.2"/>
    <n v="9.6712000000000025"/>
  </r>
  <r>
    <n v="206"/>
    <s v="CA-2019-108329"/>
    <d v="2019-12-09T00:00:00"/>
    <s v="Standard Class"/>
    <s v="Laurel Elliston"/>
    <s v="Whittier"/>
    <s v="California"/>
    <s v="West"/>
    <s v="Technology"/>
    <s v="Phones"/>
    <s v="Nortel Business Series Terminal T7208 Digital phone"/>
    <n v="444.76800000000003"/>
    <n v="4"/>
    <n v="0.2"/>
    <n v="44.476800000000026"/>
  </r>
  <r>
    <n v="207"/>
    <s v="CA-2019-135860"/>
    <d v="2019-12-01T00:00:00"/>
    <s v="Standard Class"/>
    <s v="Joseph Holt"/>
    <s v="Saginaw"/>
    <s v="Michigan"/>
    <s v="Central"/>
    <s v="Office Supplies"/>
    <s v="Storage"/>
    <s v="Tennsco Lockers, Gray"/>
    <n v="83.92"/>
    <n v="4"/>
    <n v="0"/>
    <n v="5.8743999999999943"/>
  </r>
  <r>
    <n v="208"/>
    <s v="CA-2019-135860"/>
    <d v="2019-12-01T00:00:00"/>
    <s v="Standard Class"/>
    <s v="Joseph Holt"/>
    <s v="Saginaw"/>
    <s v="Michigan"/>
    <s v="Central"/>
    <s v="Technology"/>
    <s v="Phones"/>
    <s v="Panasonic KX-TG6844B Expandable Digital Cordless Telephone"/>
    <n v="131.97999999999999"/>
    <n v="2"/>
    <n v="0"/>
    <n v="35.634600000000006"/>
  </r>
  <r>
    <n v="209"/>
    <s v="CA-2019-135860"/>
    <d v="2019-12-01T00:00:00"/>
    <s v="Standard Class"/>
    <s v="Joseph Holt"/>
    <s v="Saginaw"/>
    <s v="Michigan"/>
    <s v="Central"/>
    <s v="Office Supplies"/>
    <s v="Binders"/>
    <s v="Avery Durable Slant Ring Binders, No Labels"/>
    <n v="15.92"/>
    <n v="4"/>
    <n v="0"/>
    <n v="7.4824000000000002"/>
  </r>
  <r>
    <n v="210"/>
    <s v="CA-2019-135860"/>
    <d v="2019-12-01T00:00:00"/>
    <s v="Standard Class"/>
    <s v="Joseph Holt"/>
    <s v="Saginaw"/>
    <s v="Michigan"/>
    <s v="Central"/>
    <s v="Office Supplies"/>
    <s v="Fasteners"/>
    <s v="Advantus Push Pins, Aluminum Head"/>
    <n v="52.29"/>
    <n v="9"/>
    <n v="0"/>
    <n v="16.209899999999998"/>
  </r>
  <r>
    <n v="211"/>
    <s v="CA-2019-135860"/>
    <d v="2019-12-01T00:00:00"/>
    <s v="Standard Class"/>
    <s v="Joseph Holt"/>
    <s v="Saginaw"/>
    <s v="Michigan"/>
    <s v="Central"/>
    <s v="Office Supplies"/>
    <s v="Storage"/>
    <s v="Gould Plastics 18-Pocket Panel Bin, 34w x 5-1/4d x 20-1/2h"/>
    <n v="91.99"/>
    <n v="1"/>
    <n v="0"/>
    <n v="3.6795999999999935"/>
  </r>
  <r>
    <n v="212"/>
    <s v="CA-2017-101007"/>
    <d v="2017-02-09T00:00:00"/>
    <s v="Second Class"/>
    <s v="Michael Stewart"/>
    <s v="Dallas"/>
    <s v="Texas"/>
    <s v="Central"/>
    <s v="Technology"/>
    <s v="Accessories"/>
    <s v="Memorex Micro Travel Drive 8 GB"/>
    <n v="20.8"/>
    <n v="2"/>
    <n v="0.2"/>
    <n v="6.4999999999999991"/>
  </r>
  <r>
    <n v="213"/>
    <s v="CA-2017-146262"/>
    <d v="2017-01-02T00:00:00"/>
    <s v="Standard Class"/>
    <s v="Victoria Wilson"/>
    <s v="Medina"/>
    <s v="Ohio"/>
    <s v="East"/>
    <s v="Office Supplies"/>
    <s v="Labels"/>
    <s v="Avery 505"/>
    <n v="23.680000000000003"/>
    <n v="2"/>
    <n v="0.2"/>
    <n v="8.879999999999999"/>
  </r>
  <r>
    <n v="214"/>
    <s v="CA-2017-146262"/>
    <d v="2017-01-02T00:00:00"/>
    <s v="Standard Class"/>
    <s v="Victoria Wilson"/>
    <s v="Medina"/>
    <s v="Ohio"/>
    <s v="East"/>
    <s v="Furniture"/>
    <s v="Bookcases"/>
    <s v="O'Sullivan 2-Door Barrister Bookcase in Odessa Pine"/>
    <n v="452.45"/>
    <n v="5"/>
    <n v="0.5"/>
    <n v="-244.32300000000006"/>
  </r>
  <r>
    <n v="215"/>
    <s v="CA-2017-146262"/>
    <d v="2017-01-02T00:00:00"/>
    <s v="Standard Class"/>
    <s v="Victoria Wilson"/>
    <s v="Medina"/>
    <s v="Ohio"/>
    <s v="East"/>
    <s v="Technology"/>
    <s v="Phones"/>
    <s v="Speck Products Candyshell Flip Case"/>
    <n v="62.981999999999999"/>
    <n v="3"/>
    <n v="0.4"/>
    <n v="-14.695800000000006"/>
  </r>
  <r>
    <n v="216"/>
    <s v="CA-2017-146262"/>
    <d v="2017-01-02T00:00:00"/>
    <s v="Standard Class"/>
    <s v="Victoria Wilson"/>
    <s v="Medina"/>
    <s v="Ohio"/>
    <s v="East"/>
    <s v="Technology"/>
    <s v="Machines"/>
    <s v="Cisco 9971 IP Video Phone Charcoal"/>
    <n v="1188.0000000000002"/>
    <n v="9"/>
    <n v="0.7"/>
    <n v="-950.40000000000009"/>
  </r>
  <r>
    <n v="217"/>
    <s v="CA-2017-146262"/>
    <d v="2017-01-02T00:00:00"/>
    <s v="Standard Class"/>
    <s v="Victoria Wilson"/>
    <s v="Medina"/>
    <s v="Ohio"/>
    <s v="East"/>
    <s v="Technology"/>
    <s v="Accessories"/>
    <s v="Sony Micro Vault Click 16 GB USB 2.0 Flash Drive"/>
    <n v="89.584000000000003"/>
    <n v="2"/>
    <n v="0.2"/>
    <n v="4.4792000000000058"/>
  </r>
  <r>
    <n v="218"/>
    <s v="CA-2018-130162"/>
    <d v="2018-10-28T00:00:00"/>
    <s v="Standard Class"/>
    <s v="Jonathan Howell"/>
    <s v="Los Angeles"/>
    <s v="California"/>
    <s v="West"/>
    <s v="Office Supplies"/>
    <s v="Storage"/>
    <s v="Personal Filing Tote with Lid, Black/Gray"/>
    <n v="93.06"/>
    <n v="6"/>
    <n v="0"/>
    <n v="26.056800000000003"/>
  </r>
  <r>
    <n v="219"/>
    <s v="CA-2018-130162"/>
    <d v="2018-10-28T00:00:00"/>
    <s v="Standard Class"/>
    <s v="Jonathan Howell"/>
    <s v="Los Angeles"/>
    <s v="California"/>
    <s v="West"/>
    <s v="Technology"/>
    <s v="Phones"/>
    <s v="Adtran 1202752G1"/>
    <n v="302.37599999999998"/>
    <n v="3"/>
    <n v="0.2"/>
    <n v="22.678200000000018"/>
  </r>
  <r>
    <n v="220"/>
    <s v="CA-2017-169397"/>
    <d v="2017-12-24T00:00:00"/>
    <s v="First Class"/>
    <s v="Joni Blumstein"/>
    <s v="Dublin"/>
    <s v="Ohio"/>
    <s v="East"/>
    <s v="Office Supplies"/>
    <s v="Fasteners"/>
    <s v="OIC Bulk Pack Metal Binder Clips"/>
    <n v="5.5840000000000005"/>
    <n v="2"/>
    <n v="0.2"/>
    <n v="1.8147999999999997"/>
  </r>
  <r>
    <n v="221"/>
    <s v="CA-2017-169397"/>
    <d v="2017-12-24T00:00:00"/>
    <s v="First Class"/>
    <s v="Joni Blumstein"/>
    <s v="Dublin"/>
    <s v="Ohio"/>
    <s v="East"/>
    <s v="Office Supplies"/>
    <s v="Paper"/>
    <s v="While You Were Out Pads, 50 per Pad, 4 x 5 1/4, Green Cycle"/>
    <n v="22.704000000000004"/>
    <n v="6"/>
    <n v="0.2"/>
    <n v="8.2302"/>
  </r>
  <r>
    <n v="222"/>
    <s v="CA-2017-169397"/>
    <d v="2017-12-24T00:00:00"/>
    <s v="First Class"/>
    <s v="Joni Blumstein"/>
    <s v="Dublin"/>
    <s v="Ohio"/>
    <s v="East"/>
    <s v="Office Supplies"/>
    <s v="Binders"/>
    <s v="Ibico Standard Transparent Covers"/>
    <n v="19.776000000000003"/>
    <n v="4"/>
    <n v="0.7"/>
    <n v="-13.843199999999996"/>
  </r>
  <r>
    <n v="223"/>
    <s v="CA-2017-169397"/>
    <d v="2017-12-24T00:00:00"/>
    <s v="First Class"/>
    <s v="Joni Blumstein"/>
    <s v="Dublin"/>
    <s v="Ohio"/>
    <s v="East"/>
    <s v="Furniture"/>
    <s v="Furnishings"/>
    <s v="Executive Impressions 14&quot; Two-Color Numerals Wall Clock"/>
    <n v="72.703999999999994"/>
    <n v="4"/>
    <n v="0.2"/>
    <n v="19.084800000000005"/>
  </r>
  <r>
    <n v="224"/>
    <s v="CA-2017-169397"/>
    <d v="2017-12-24T00:00:00"/>
    <s v="First Class"/>
    <s v="Joni Blumstein"/>
    <s v="Dublin"/>
    <s v="Ohio"/>
    <s v="East"/>
    <s v="Technology"/>
    <s v="Machines"/>
    <s v="Swingline SM12-08 MicroCut Jam Free Shredder"/>
    <n v="479.98800000000006"/>
    <n v="4"/>
    <n v="0.7"/>
    <n v="-383.99040000000002"/>
  </r>
  <r>
    <n v="225"/>
    <s v="CA-2017-169397"/>
    <d v="2017-12-24T00:00:00"/>
    <s v="First Class"/>
    <s v="Joni Blumstein"/>
    <s v="Dublin"/>
    <s v="Ohio"/>
    <s v="East"/>
    <s v="Office Supplies"/>
    <s v="Art"/>
    <s v="Stanley Bostitch Contemporary Electric Pencil Sharpeners"/>
    <n v="27.168000000000003"/>
    <n v="2"/>
    <n v="0.2"/>
    <n v="2.7168000000000001"/>
  </r>
  <r>
    <n v="226"/>
    <s v="CA-2017-163055"/>
    <d v="2017-08-09T00:00:00"/>
    <s v="Standard Class"/>
    <s v="David Smith"/>
    <s v="Detroit"/>
    <s v="Michigan"/>
    <s v="Central"/>
    <s v="Office Supplies"/>
    <s v="Art"/>
    <s v="Sanford Uni-Blazer View Highlighters, Chisel Tip, Yellow"/>
    <n v="2.2000000000000002"/>
    <n v="1"/>
    <n v="0"/>
    <n v="0.96800000000000019"/>
  </r>
  <r>
    <n v="227"/>
    <s v="CA-2017-163055"/>
    <d v="2017-08-09T00:00:00"/>
    <s v="Standard Class"/>
    <s v="David Smith"/>
    <s v="Detroit"/>
    <s v="Michigan"/>
    <s v="Central"/>
    <s v="Furniture"/>
    <s v="Tables"/>
    <s v="Bevis 36 x 72 Conference Tables"/>
    <n v="622.44999999999993"/>
    <n v="5"/>
    <n v="0"/>
    <n v="136.93899999999999"/>
  </r>
  <r>
    <n v="228"/>
    <s v="CA-2017-163055"/>
    <d v="2017-08-09T00:00:00"/>
    <s v="Standard Class"/>
    <s v="David Smith"/>
    <s v="Detroit"/>
    <s v="Michigan"/>
    <s v="Central"/>
    <s v="Office Supplies"/>
    <s v="Storage"/>
    <s v="Rogers Deluxe File Chest"/>
    <n v="21.98"/>
    <n v="1"/>
    <n v="0"/>
    <n v="0.21979999999999933"/>
  </r>
  <r>
    <n v="229"/>
    <s v="US-2017-145436"/>
    <d v="2017-02-28T00:00:00"/>
    <s v="Standard Class"/>
    <s v="Valerie Dominguez"/>
    <s v="Columbia"/>
    <s v="Tennessee"/>
    <s v="South"/>
    <s v="Furniture"/>
    <s v="Chairs"/>
    <s v="Global Low Back Tilter Chair"/>
    <n v="161.56800000000001"/>
    <n v="2"/>
    <n v="0.2"/>
    <n v="-28.274400000000021"/>
  </r>
  <r>
    <n v="230"/>
    <s v="US-2017-145436"/>
    <d v="2017-02-28T00:00:00"/>
    <s v="Standard Class"/>
    <s v="Valerie Dominguez"/>
    <s v="Columbia"/>
    <s v="Tennessee"/>
    <s v="South"/>
    <s v="Furniture"/>
    <s v="Chairs"/>
    <s v="Global Push Button Manager's Chair, Indigo"/>
    <n v="389.69600000000003"/>
    <n v="8"/>
    <n v="0.2"/>
    <n v="43.840799999999973"/>
  </r>
  <r>
    <n v="231"/>
    <s v="US-2016-156216"/>
    <d v="2016-09-13T00:00:00"/>
    <s v="Standard Class"/>
    <s v="Erin Ashbrook"/>
    <s v="Charlotte"/>
    <s v="North Carolina"/>
    <s v="South"/>
    <s v="Office Supplies"/>
    <s v="Binders"/>
    <s v="GBC Instant Index System for Binding Systems"/>
    <n v="18.648000000000003"/>
    <n v="7"/>
    <n v="0.7"/>
    <n v="-12.431999999999999"/>
  </r>
  <r>
    <n v="232"/>
    <s v="US-2019-100930"/>
    <d v="2019-04-07T00:00:00"/>
    <s v="Standard Class"/>
    <s v="Christopher Schild"/>
    <s v="Tampa"/>
    <s v="Florida"/>
    <s v="South"/>
    <s v="Furniture"/>
    <s v="Tables"/>
    <s v="Bush Advantage Collection Round Conference Table"/>
    <n v="233.86"/>
    <n v="2"/>
    <n v="0.45"/>
    <n v="-102.04800000000003"/>
  </r>
  <r>
    <n v="233"/>
    <s v="US-2019-100930"/>
    <d v="2019-04-07T00:00:00"/>
    <s v="Standard Class"/>
    <s v="Christopher Schild"/>
    <s v="Tampa"/>
    <s v="Florida"/>
    <s v="South"/>
    <s v="Furniture"/>
    <s v="Tables"/>
    <s v="Bretford Rectangular Conference Table Tops"/>
    <n v="620.61450000000013"/>
    <n v="3"/>
    <n v="0.45"/>
    <n v="-248.24579999999992"/>
  </r>
  <r>
    <n v="234"/>
    <s v="US-2019-100930"/>
    <d v="2019-04-07T00:00:00"/>
    <s v="Standard Class"/>
    <s v="Christopher Schild"/>
    <s v="Tampa"/>
    <s v="Florida"/>
    <s v="South"/>
    <s v="Office Supplies"/>
    <s v="Binders"/>
    <s v="GBC Instant Index System for Binding Systems"/>
    <n v="5.3280000000000012"/>
    <n v="2"/>
    <n v="0.7"/>
    <n v="-3.5519999999999996"/>
  </r>
  <r>
    <n v="235"/>
    <s v="US-2019-100930"/>
    <d v="2019-04-07T00:00:00"/>
    <s v="Standard Class"/>
    <s v="Christopher Schild"/>
    <s v="Tampa"/>
    <s v="Florida"/>
    <s v="South"/>
    <s v="Furniture"/>
    <s v="Furnishings"/>
    <s v="Tenex Contemporary Contur Chairmats for Low and Medium Pile Carpet, Computer, 39&quot; x 49&quot;"/>
    <n v="258.072"/>
    <n v="3"/>
    <n v="0.2"/>
    <n v="0"/>
  </r>
  <r>
    <n v="236"/>
    <s v="US-2019-100930"/>
    <d v="2019-04-07T00:00:00"/>
    <s v="Standard Class"/>
    <s v="Christopher Schild"/>
    <s v="Tampa"/>
    <s v="Florida"/>
    <s v="South"/>
    <s v="Technology"/>
    <s v="Accessories"/>
    <s v="Logitech P710e Mobile Speakerphone"/>
    <n v="617.97600000000011"/>
    <n v="3"/>
    <n v="0.2"/>
    <n v="-7.724700000000098"/>
  </r>
  <r>
    <n v="237"/>
    <s v="CA-2019-160514"/>
    <d v="2019-11-12T00:00:00"/>
    <s v="Standard Class"/>
    <s v="David Bremer"/>
    <s v="Santa Clara"/>
    <s v="California"/>
    <s v="West"/>
    <s v="Office Supplies"/>
    <s v="Paper"/>
    <s v="Xerox 4200 Series MultiUse Premium Copy Paper (20Lb. and 84 Bright)"/>
    <n v="10.56"/>
    <n v="2"/>
    <n v="0"/>
    <n v="4.7519999999999998"/>
  </r>
  <r>
    <n v="238"/>
    <s v="CA-2018-157749"/>
    <d v="2018-06-04T00:00:00"/>
    <s v="Second Class"/>
    <s v="Ken Lonsdale"/>
    <s v="Chicago"/>
    <s v="Illinois"/>
    <s v="Central"/>
    <s v="Office Supplies"/>
    <s v="Paper"/>
    <s v="Xerox 1957"/>
    <n v="25.920000000000005"/>
    <n v="5"/>
    <n v="0.2"/>
    <n v="9.3960000000000008"/>
  </r>
  <r>
    <n v="239"/>
    <s v="CA-2018-157749"/>
    <d v="2018-06-04T00:00:00"/>
    <s v="Second Class"/>
    <s v="Ken Lonsdale"/>
    <s v="Chicago"/>
    <s v="Illinois"/>
    <s v="Central"/>
    <s v="Furniture"/>
    <s v="Furnishings"/>
    <s v="Luxo Professional Fluorescent Magnifier Lamp with Clamp-Mount Base"/>
    <n v="419.68000000000006"/>
    <n v="5"/>
    <n v="0.6"/>
    <n v="-356.72799999999995"/>
  </r>
  <r>
    <n v="240"/>
    <s v="CA-2018-157749"/>
    <d v="2018-06-04T00:00:00"/>
    <s v="Second Class"/>
    <s v="Ken Lonsdale"/>
    <s v="Chicago"/>
    <s v="Illinois"/>
    <s v="Central"/>
    <s v="Furniture"/>
    <s v="Furnishings"/>
    <s v="Staple-based wall hangings"/>
    <n v="11.688000000000001"/>
    <n v="3"/>
    <n v="0.6"/>
    <n v="-4.6751999999999985"/>
  </r>
  <r>
    <n v="241"/>
    <s v="CA-2018-157749"/>
    <d v="2018-06-04T00:00:00"/>
    <s v="Second Class"/>
    <s v="Ken Lonsdale"/>
    <s v="Chicago"/>
    <s v="Illinois"/>
    <s v="Central"/>
    <s v="Technology"/>
    <s v="Phones"/>
    <s v="PureGear Roll-On Screen Protector"/>
    <n v="31.983999999999998"/>
    <n v="2"/>
    <n v="0.2"/>
    <n v="11.194399999999998"/>
  </r>
  <r>
    <n v="242"/>
    <s v="CA-2018-157749"/>
    <d v="2018-06-04T00:00:00"/>
    <s v="Second Class"/>
    <s v="Ken Lonsdale"/>
    <s v="Chicago"/>
    <s v="Illinois"/>
    <s v="Central"/>
    <s v="Furniture"/>
    <s v="Tables"/>
    <s v="KI Conference Tables"/>
    <n v="177.22499999999999"/>
    <n v="5"/>
    <n v="0.5"/>
    <n v="-120.51299999999998"/>
  </r>
  <r>
    <n v="243"/>
    <s v="CA-2018-157749"/>
    <d v="2018-06-04T00:00:00"/>
    <s v="Second Class"/>
    <s v="Ken Lonsdale"/>
    <s v="Chicago"/>
    <s v="Illinois"/>
    <s v="Central"/>
    <s v="Furniture"/>
    <s v="Furnishings"/>
    <s v="Eldon 100 Class Desk Accessories"/>
    <n v="4.0440000000000005"/>
    <n v="3"/>
    <n v="0.6"/>
    <n v="-2.8307999999999995"/>
  </r>
  <r>
    <n v="244"/>
    <s v="CA-2018-157749"/>
    <d v="2018-06-04T00:00:00"/>
    <s v="Second Class"/>
    <s v="Ken Lonsdale"/>
    <s v="Chicago"/>
    <s v="Illinois"/>
    <s v="Central"/>
    <s v="Office Supplies"/>
    <s v="Art"/>
    <s v="Binney &amp; Smith Crayola Metallic Colored Pencils, 8-Color Set"/>
    <n v="7.4080000000000004"/>
    <n v="2"/>
    <n v="0.2"/>
    <n v="1.2037999999999995"/>
  </r>
  <r>
    <n v="245"/>
    <s v="CA-2016-131926"/>
    <d v="2016-06-01T00:00:00"/>
    <s v="Second Class"/>
    <s v="Dianna Wilson"/>
    <s v="Lakeville"/>
    <s v="Minnesota"/>
    <s v="Central"/>
    <s v="Furniture"/>
    <s v="Chairs"/>
    <s v="Global Deluxe High-Back Manager's Chair"/>
    <n v="2001.8600000000001"/>
    <n v="7"/>
    <n v="0"/>
    <n v="580.53939999999989"/>
  </r>
  <r>
    <n v="246"/>
    <s v="CA-2016-131926"/>
    <d v="2016-06-01T00:00:00"/>
    <s v="Second Class"/>
    <s v="Dianna Wilson"/>
    <s v="Lakeville"/>
    <s v="Minnesota"/>
    <s v="Central"/>
    <s v="Office Supplies"/>
    <s v="Storage"/>
    <s v="Safco Steel Mobile File Cart"/>
    <n v="166.72"/>
    <n v="2"/>
    <n v="0"/>
    <n v="41.680000000000007"/>
  </r>
  <r>
    <n v="247"/>
    <s v="CA-2016-131926"/>
    <d v="2016-06-01T00:00:00"/>
    <s v="Second Class"/>
    <s v="Dianna Wilson"/>
    <s v="Lakeville"/>
    <s v="Minnesota"/>
    <s v="Central"/>
    <s v="Office Supplies"/>
    <s v="Paper"/>
    <s v="Adams Telephone Message Book w/Frequently-Called Numbers Space, 400 Messages per Book"/>
    <n v="47.88"/>
    <n v="6"/>
    <n v="0"/>
    <n v="23.94"/>
  </r>
  <r>
    <n v="248"/>
    <s v="CA-2016-131926"/>
    <d v="2016-06-01T00:00:00"/>
    <s v="Second Class"/>
    <s v="Dianna Wilson"/>
    <s v="Lakeville"/>
    <s v="Minnesota"/>
    <s v="Central"/>
    <s v="Office Supplies"/>
    <s v="Appliances"/>
    <s v="Honeywell Enviracaire Portable HEPA Air Cleaner for 17' x 22' Room"/>
    <n v="1503.25"/>
    <n v="5"/>
    <n v="0"/>
    <n v="496.07249999999993"/>
  </r>
  <r>
    <n v="249"/>
    <s v="CA-2016-131926"/>
    <d v="2016-06-01T00:00:00"/>
    <s v="Second Class"/>
    <s v="Dianna Wilson"/>
    <s v="Lakeville"/>
    <s v="Minnesota"/>
    <s v="Central"/>
    <s v="Office Supplies"/>
    <s v="Paper"/>
    <s v="Xerox 205"/>
    <n v="25.92"/>
    <n v="4"/>
    <n v="0"/>
    <n v="12.441600000000001"/>
  </r>
  <r>
    <n v="250"/>
    <s v="CA-2018-154739"/>
    <d v="2018-12-10T00:00:00"/>
    <s v="Second Class"/>
    <s v="Logan Haushalter"/>
    <s v="San Francisco"/>
    <s v="California"/>
    <s v="West"/>
    <s v="Furniture"/>
    <s v="Chairs"/>
    <s v="Global Leather Highback Executive Chair with Pneumatic Height Adjustment, Black"/>
    <n v="321.56799999999998"/>
    <n v="2"/>
    <n v="0.2"/>
    <n v="28.137200000000007"/>
  </r>
  <r>
    <n v="251"/>
    <s v="CA-2018-145625"/>
    <d v="2018-09-11T00:00:00"/>
    <s v="Standard Class"/>
    <s v="Kelly Collister"/>
    <s v="San Diego"/>
    <s v="California"/>
    <s v="West"/>
    <s v="Office Supplies"/>
    <s v="Paper"/>
    <s v="Wirebound Message Books, Two 4 1/4&quot; x 5&quot; Forms per Page"/>
    <n v="7.61"/>
    <n v="1"/>
    <n v="0"/>
    <n v="3.5766999999999998"/>
  </r>
  <r>
    <n v="252"/>
    <s v="CA-2018-145625"/>
    <d v="2018-09-11T00:00:00"/>
    <s v="Standard Class"/>
    <s v="Kelly Collister"/>
    <s v="San Diego"/>
    <s v="California"/>
    <s v="West"/>
    <s v="Technology"/>
    <s v="Accessories"/>
    <s v="Logitech P710e Mobile Speakerphone"/>
    <n v="3347.37"/>
    <n v="13"/>
    <n v="0"/>
    <n v="636.0002999999997"/>
  </r>
  <r>
    <n v="253"/>
    <s v="CA-2018-146941"/>
    <d v="2018-12-10T00:00:00"/>
    <s v="First Class"/>
    <s v="Delfina Latchford"/>
    <s v="New York City"/>
    <s v="New York"/>
    <s v="East"/>
    <s v="Office Supplies"/>
    <s v="Storage"/>
    <s v="Fellowes Personal Hanging Folder Files, Navy"/>
    <n v="80.58"/>
    <n v="6"/>
    <n v="0"/>
    <n v="22.562400000000004"/>
  </r>
  <r>
    <n v="254"/>
    <s v="CA-2018-146941"/>
    <d v="2018-12-10T00:00:00"/>
    <s v="First Class"/>
    <s v="Delfina Latchford"/>
    <s v="New York City"/>
    <s v="New York"/>
    <s v="East"/>
    <s v="Office Supplies"/>
    <s v="Envelopes"/>
    <s v="Tyvek Side-Opening Peel &amp; Seel Expanding Envelopes"/>
    <n v="361.92"/>
    <n v="4"/>
    <n v="0"/>
    <n v="162.864"/>
  </r>
  <r>
    <n v="255"/>
    <s v="US-2017-159982"/>
    <d v="2017-11-28T00:00:00"/>
    <s v="Standard Class"/>
    <s v="Dan Reichenbach"/>
    <s v="Chicago"/>
    <s v="Illinois"/>
    <s v="Central"/>
    <s v="Furniture"/>
    <s v="Furnishings"/>
    <s v="Eldon 100 Class Desk Accessories"/>
    <n v="12.132000000000001"/>
    <n v="9"/>
    <n v="0.6"/>
    <n v="-8.4923999999999982"/>
  </r>
  <r>
    <n v="256"/>
    <s v="US-2017-159982"/>
    <d v="2017-11-28T00:00:00"/>
    <s v="Standard Class"/>
    <s v="Dan Reichenbach"/>
    <s v="Chicago"/>
    <s v="Illinois"/>
    <s v="Central"/>
    <s v="Office Supplies"/>
    <s v="Storage"/>
    <s v="Belkin 19&quot; Vented Equipment Shelf, Black"/>
    <n v="82.367999999999995"/>
    <n v="2"/>
    <n v="0.2"/>
    <n v="-19.562399999999997"/>
  </r>
  <r>
    <n v="257"/>
    <s v="US-2017-159982"/>
    <d v="2017-11-28T00:00:00"/>
    <s v="Standard Class"/>
    <s v="Dan Reichenbach"/>
    <s v="Chicago"/>
    <s v="Illinois"/>
    <s v="Central"/>
    <s v="Office Supplies"/>
    <s v="Storage"/>
    <s v="Tenex Personal Project File with Scoop Front Design, Black"/>
    <n v="53.92"/>
    <n v="5"/>
    <n v="0.2"/>
    <n v="4.0439999999999969"/>
  </r>
  <r>
    <n v="258"/>
    <s v="US-2017-159982"/>
    <d v="2017-11-28T00:00:00"/>
    <s v="Standard Class"/>
    <s v="Dan Reichenbach"/>
    <s v="Chicago"/>
    <s v="Illinois"/>
    <s v="Central"/>
    <s v="Technology"/>
    <s v="Phones"/>
    <s v="Logitech Mobile Speakerphone P710e - speaker phone"/>
    <n v="647.904"/>
    <n v="6"/>
    <n v="0.2"/>
    <n v="56.691599999999966"/>
  </r>
  <r>
    <n v="259"/>
    <s v="CA-2019-163139"/>
    <d v="2019-12-01T00:00:00"/>
    <s v="Second Class"/>
    <s v="Craig Carreira"/>
    <s v="New York City"/>
    <s v="New York"/>
    <s v="East"/>
    <s v="Technology"/>
    <s v="Accessories"/>
    <s v="Sabrent 4-Port USB 2.0 Hub"/>
    <n v="20.37"/>
    <n v="3"/>
    <n v="0"/>
    <n v="6.9258000000000006"/>
  </r>
  <r>
    <n v="260"/>
    <s v="CA-2019-163139"/>
    <d v="2019-12-01T00:00:00"/>
    <s v="Second Class"/>
    <s v="Craig Carreira"/>
    <s v="New York City"/>
    <s v="New York"/>
    <s v="East"/>
    <s v="Office Supplies"/>
    <s v="Storage"/>
    <s v="Safco Industrial Shelving"/>
    <n v="221.54999999999998"/>
    <n v="3"/>
    <n v="0"/>
    <n v="6.6465000000000174"/>
  </r>
  <r>
    <n v="261"/>
    <s v="CA-2019-163139"/>
    <d v="2019-12-01T00:00:00"/>
    <s v="Second Class"/>
    <s v="Craig Carreira"/>
    <s v="New York City"/>
    <s v="New York"/>
    <s v="East"/>
    <s v="Office Supplies"/>
    <s v="Binders"/>
    <s v="Acco 3-Hole Punch"/>
    <n v="17.52"/>
    <n v="5"/>
    <n v="0.2"/>
    <n v="6.1319999999999988"/>
  </r>
  <r>
    <n v="262"/>
    <s v="US-2019-155299"/>
    <d v="2019-06-08T00:00:00"/>
    <s v="Standard Class"/>
    <s v="Dorris liebe"/>
    <s v="Pasadena"/>
    <s v="Texas"/>
    <s v="Central"/>
    <s v="Office Supplies"/>
    <s v="Appliances"/>
    <s v="Eureka Disposable Bags for Sanitaire Vibra Groomer I Upright Vac"/>
    <n v="1.6239999999999994"/>
    <n v="2"/>
    <n v="0.8"/>
    <n v="-4.4660000000000002"/>
  </r>
  <r>
    <n v="263"/>
    <s v="US-2016-106992"/>
    <d v="2016-09-19T00:00:00"/>
    <s v="Second Class"/>
    <s v="Sean Braxton"/>
    <s v="Houston"/>
    <s v="Texas"/>
    <s v="Central"/>
    <s v="Technology"/>
    <s v="Machines"/>
    <s v="Lexmark MX611dhe Monochrome Laser Printer"/>
    <n v="3059.982"/>
    <n v="3"/>
    <n v="0.4"/>
    <n v="-509.99700000000075"/>
  </r>
  <r>
    <n v="264"/>
    <s v="US-2016-106992"/>
    <d v="2016-09-19T00:00:00"/>
    <s v="Second Class"/>
    <s v="Sean Braxton"/>
    <s v="Houston"/>
    <s v="Texas"/>
    <s v="Central"/>
    <s v="Technology"/>
    <s v="Machines"/>
    <s v="Xerox WorkCentre 6505DN Laser Multifunction Printer"/>
    <n v="2519.9579999999996"/>
    <n v="7"/>
    <n v="0.4"/>
    <n v="-251.99579999999992"/>
  </r>
  <r>
    <n v="265"/>
    <s v="CA-2018-125318"/>
    <d v="2018-06-06T00:00:00"/>
    <s v="Standard Class"/>
    <s v="Roy Collins"/>
    <s v="Chicago"/>
    <s v="Illinois"/>
    <s v="Central"/>
    <s v="Technology"/>
    <s v="Phones"/>
    <s v="Cisco Small Business SPA 502G VoIP phone"/>
    <n v="328.22399999999999"/>
    <n v="4"/>
    <n v="0.2"/>
    <n v="28.7196"/>
  </r>
  <r>
    <n v="266"/>
    <s v="CA-2017-155040"/>
    <d v="2017-11-10T00:00:00"/>
    <s v="Standard Class"/>
    <s v="Alan Hwang"/>
    <s v="Brentwood"/>
    <s v="California"/>
    <s v="West"/>
    <s v="Technology"/>
    <s v="Accessories"/>
    <s v="Microsoft Sculpt Comfort Mouse"/>
    <n v="79.900000000000006"/>
    <n v="2"/>
    <n v="0"/>
    <n v="35.156000000000006"/>
  </r>
  <r>
    <n v="267"/>
    <s v="CA-2019-136826"/>
    <d v="2019-06-16T00:00:00"/>
    <s v="Standard Class"/>
    <s v="Claudia Bergmann"/>
    <s v="Chapel Hill"/>
    <s v="North Carolina"/>
    <s v="South"/>
    <s v="Office Supplies"/>
    <s v="Art"/>
    <s v="Quartet Omega Colored Chalk, 12/Pack"/>
    <n v="14.015999999999998"/>
    <n v="3"/>
    <n v="0.2"/>
    <n v="4.7303999999999995"/>
  </r>
  <r>
    <n v="268"/>
    <s v="CA-2018-111010"/>
    <d v="2018-01-22T00:00:00"/>
    <s v="Standard Class"/>
    <s v="Paul Gonzalez"/>
    <s v="Morristown"/>
    <s v="New Jersey"/>
    <s v="East"/>
    <s v="Office Supplies"/>
    <s v="Fasteners"/>
    <s v="Bagged Rubber Bands"/>
    <n v="7.5600000000000005"/>
    <n v="6"/>
    <n v="0"/>
    <n v="0.3024"/>
  </r>
  <r>
    <n v="269"/>
    <s v="US-2019-145366"/>
    <d v="2019-12-09T00:00:00"/>
    <s v="Standard Class"/>
    <s v="Christine Abelman"/>
    <s v="Cincinnati"/>
    <s v="Ohio"/>
    <s v="East"/>
    <s v="Office Supplies"/>
    <s v="Storage"/>
    <s v="Safco Commercial Shelving"/>
    <n v="37.207999999999998"/>
    <n v="1"/>
    <n v="0.2"/>
    <n v="-7.4416000000000011"/>
  </r>
  <r>
    <n v="270"/>
    <s v="US-2019-145366"/>
    <d v="2019-12-09T00:00:00"/>
    <s v="Standard Class"/>
    <s v="Christine Abelman"/>
    <s v="Cincinnati"/>
    <s v="Ohio"/>
    <s v="East"/>
    <s v="Office Supplies"/>
    <s v="Envelopes"/>
    <s v="Recycled Interoffice Envelopes with String and Button Closure, 10 x 13"/>
    <n v="57.576000000000001"/>
    <n v="3"/>
    <n v="0.2"/>
    <n v="21.591000000000001"/>
  </r>
  <r>
    <n v="271"/>
    <s v="CA-2019-163979"/>
    <d v="2019-12-28T00:00:00"/>
    <s v="Second Class"/>
    <s v="Kristen Hastings"/>
    <s v="San Francisco"/>
    <s v="California"/>
    <s v="West"/>
    <s v="Office Supplies"/>
    <s v="Storage"/>
    <s v="Adjustable Depth Letter/Legal Cart"/>
    <n v="725.84"/>
    <n v="4"/>
    <n v="0"/>
    <n v="210.4935999999999"/>
  </r>
  <r>
    <n v="272"/>
    <s v="CA-2017-155334"/>
    <d v="2017-07-30T00:00:00"/>
    <s v="First Class"/>
    <s v="Helen Andreada"/>
    <s v="San Francisco"/>
    <s v="California"/>
    <s v="West"/>
    <s v="Technology"/>
    <s v="Accessories"/>
    <s v="Logitech 910-002974 M325 Wireless Mouse for Web Scrolling"/>
    <n v="209.92999999999998"/>
    <n v="7"/>
    <n v="0"/>
    <n v="92.369200000000021"/>
  </r>
  <r>
    <n v="273"/>
    <s v="CA-2017-155334"/>
    <d v="2017-07-30T00:00:00"/>
    <s v="First Class"/>
    <s v="Helen Andreada"/>
    <s v="San Francisco"/>
    <s v="California"/>
    <s v="West"/>
    <s v="Furniture"/>
    <s v="Furnishings"/>
    <s v="Regeneration Desk Collection"/>
    <n v="5.28"/>
    <n v="3"/>
    <n v="0"/>
    <n v="2.3232000000000004"/>
  </r>
  <r>
    <n v="274"/>
    <s v="CA-2017-155334"/>
    <d v="2017-07-30T00:00:00"/>
    <s v="First Class"/>
    <s v="Helen Andreada"/>
    <s v="San Francisco"/>
    <s v="California"/>
    <s v="West"/>
    <s v="Office Supplies"/>
    <s v="Binders"/>
    <s v="Presstex Flexible Ring Binders"/>
    <n v="10.92"/>
    <n v="3"/>
    <n v="0.2"/>
    <n v="4.0949999999999989"/>
  </r>
  <r>
    <n v="275"/>
    <s v="CA-2019-118136"/>
    <d v="2019-09-16T00:00:00"/>
    <s v="First Class"/>
    <s v="Barry Blumstein"/>
    <s v="Inglewood"/>
    <s v="California"/>
    <s v="West"/>
    <s v="Office Supplies"/>
    <s v="Paper"/>
    <s v="Ampad Gold Fibre Wirebound Steno Books, 6&quot; x 9&quot;, Gregg Ruled"/>
    <n v="8.82"/>
    <n v="2"/>
    <n v="0"/>
    <n v="4.0571999999999999"/>
  </r>
  <r>
    <n v="276"/>
    <s v="CA-2019-118136"/>
    <d v="2019-09-16T00:00:00"/>
    <s v="First Class"/>
    <s v="Barry Blumstein"/>
    <s v="Inglewood"/>
    <s v="California"/>
    <s v="West"/>
    <s v="Office Supplies"/>
    <s v="Art"/>
    <s v="Newell 330"/>
    <n v="5.98"/>
    <n v="1"/>
    <n v="0"/>
    <n v="1.5548000000000002"/>
  </r>
  <r>
    <n v="277"/>
    <s v="CA-2019-132976"/>
    <d v="2019-10-13T00:00:00"/>
    <s v="Standard Class"/>
    <s v="Andrew Gjertsen"/>
    <s v="Philadelphia"/>
    <s v="Pennsylvania"/>
    <s v="East"/>
    <s v="Office Supplies"/>
    <s v="Paper"/>
    <s v="Post-it “Important Message” Note Pad, Neon Colors, 50 Sheets/Pad"/>
    <n v="11.648000000000001"/>
    <n v="2"/>
    <n v="0.2"/>
    <n v="4.0768000000000004"/>
  </r>
  <r>
    <n v="278"/>
    <s v="CA-2019-132976"/>
    <d v="2019-10-13T00:00:00"/>
    <s v="Standard Class"/>
    <s v="Andrew Gjertsen"/>
    <s v="Philadelphia"/>
    <s v="Pennsylvania"/>
    <s v="East"/>
    <s v="Office Supplies"/>
    <s v="Paper"/>
    <s v="Adams Write n' Stick Phone Message Book, 11&quot; X 5 1/4&quot;, 200 Messages"/>
    <n v="18.175999999999998"/>
    <n v="4"/>
    <n v="0.2"/>
    <n v="5.9071999999999987"/>
  </r>
  <r>
    <n v="279"/>
    <s v="CA-2019-132976"/>
    <d v="2019-10-13T00:00:00"/>
    <s v="Standard Class"/>
    <s v="Andrew Gjertsen"/>
    <s v="Philadelphia"/>
    <s v="Pennsylvania"/>
    <s v="East"/>
    <s v="Office Supplies"/>
    <s v="Storage"/>
    <s v="Eldon Simplefile Box Office"/>
    <n v="59.712000000000003"/>
    <n v="6"/>
    <n v="0.2"/>
    <n v="5.9711999999999996"/>
  </r>
  <r>
    <n v="280"/>
    <s v="CA-2019-132976"/>
    <d v="2019-10-13T00:00:00"/>
    <s v="Standard Class"/>
    <s v="Andrew Gjertsen"/>
    <s v="Philadelphia"/>
    <s v="Pennsylvania"/>
    <s v="East"/>
    <s v="Office Supplies"/>
    <s v="Labels"/>
    <s v="Avery 489"/>
    <n v="24.839999999999996"/>
    <n v="3"/>
    <n v="0.2"/>
    <n v="8.6940000000000008"/>
  </r>
  <r>
    <n v="281"/>
    <s v="US-2017-161991"/>
    <d v="2017-09-26T00:00:00"/>
    <s v="Second Class"/>
    <s v="Steven Cartwright"/>
    <s v="Houston"/>
    <s v="Texas"/>
    <s v="Central"/>
    <s v="Office Supplies"/>
    <s v="Binders"/>
    <s v="Round Ring Binders"/>
    <n v="2.0799999999999996"/>
    <n v="5"/>
    <n v="0.8"/>
    <n v="-3.4320000000000004"/>
  </r>
  <r>
    <n v="282"/>
    <s v="US-2017-161991"/>
    <d v="2017-09-26T00:00:00"/>
    <s v="Second Class"/>
    <s v="Steven Cartwright"/>
    <s v="Houston"/>
    <s v="Texas"/>
    <s v="Central"/>
    <s v="Technology"/>
    <s v="Phones"/>
    <s v="Bose SoundLink Bluetooth Speaker"/>
    <n v="1114.4000000000001"/>
    <n v="7"/>
    <n v="0.2"/>
    <n v="376.11"/>
  </r>
  <r>
    <n v="283"/>
    <s v="CA-2017-130890"/>
    <d v="2017-11-02T00:00:00"/>
    <s v="Standard Class"/>
    <s v="Jas O'Carroll"/>
    <s v="Los Angeles"/>
    <s v="California"/>
    <s v="West"/>
    <s v="Furniture"/>
    <s v="Tables"/>
    <s v="Bevis Round Bullnose 29&quot; High Table Top"/>
    <n v="1038.8399999999999"/>
    <n v="5"/>
    <n v="0.2"/>
    <n v="51.942000000000007"/>
  </r>
  <r>
    <n v="284"/>
    <s v="CA-2017-130883"/>
    <d v="2017-09-26T00:00:00"/>
    <s v="Standard Class"/>
    <s v="Tracy Blumstein"/>
    <s v="Portland"/>
    <s v="Oregon"/>
    <s v="West"/>
    <s v="Office Supplies"/>
    <s v="Paper"/>
    <s v="Easy-staple paper"/>
    <n v="141.76"/>
    <n v="5"/>
    <n v="0.2"/>
    <n v="47.843999999999994"/>
  </r>
  <r>
    <n v="285"/>
    <s v="CA-2017-130883"/>
    <d v="2017-09-26T00:00:00"/>
    <s v="Standard Class"/>
    <s v="Tracy Blumstein"/>
    <s v="Portland"/>
    <s v="Oregon"/>
    <s v="West"/>
    <s v="Technology"/>
    <s v="Accessories"/>
    <s v="Microsoft Arc Touch Mouse"/>
    <n v="239.80000000000004"/>
    <n v="5"/>
    <n v="0.2"/>
    <n v="47.959999999999987"/>
  </r>
  <r>
    <n v="286"/>
    <s v="CA-2017-130883"/>
    <d v="2017-09-26T00:00:00"/>
    <s v="Standard Class"/>
    <s v="Tracy Blumstein"/>
    <s v="Portland"/>
    <s v="Oregon"/>
    <s v="West"/>
    <s v="Office Supplies"/>
    <s v="Paper"/>
    <s v="Xerox 216"/>
    <n v="31.104000000000006"/>
    <n v="6"/>
    <n v="0.2"/>
    <n v="10.8864"/>
  </r>
  <r>
    <n v="287"/>
    <s v="CA-2018-112697"/>
    <d v="2018-12-18T00:00:00"/>
    <s v="Second Class"/>
    <s v="Alan Haines"/>
    <s v="Tamarac"/>
    <s v="Florida"/>
    <s v="South"/>
    <s v="Office Supplies"/>
    <s v="Binders"/>
    <s v="GBC VeloBinder Electric Binding Machine"/>
    <n v="254.05800000000002"/>
    <n v="7"/>
    <n v="0.7"/>
    <n v="-169.3719999999999"/>
  </r>
  <r>
    <n v="288"/>
    <s v="CA-2018-112697"/>
    <d v="2018-12-18T00:00:00"/>
    <s v="Second Class"/>
    <s v="Alan Haines"/>
    <s v="Tamarac"/>
    <s v="Florida"/>
    <s v="South"/>
    <s v="Office Supplies"/>
    <s v="Appliances"/>
    <s v="Acco 7-Outlet Masterpiece Power Center, Wihtout Fax/Phone Line Protection"/>
    <n v="194.52800000000002"/>
    <n v="2"/>
    <n v="0.2"/>
    <n v="24.315999999999974"/>
  </r>
  <r>
    <n v="289"/>
    <s v="CA-2018-112697"/>
    <d v="2018-12-18T00:00:00"/>
    <s v="Second Class"/>
    <s v="Alan Haines"/>
    <s v="Tamarac"/>
    <s v="Florida"/>
    <s v="South"/>
    <s v="Office Supplies"/>
    <s v="Supplies"/>
    <s v="Premier Automatic Letter Opener"/>
    <n v="961.48000000000013"/>
    <n v="5"/>
    <n v="0.2"/>
    <n v="-204.31449999999995"/>
  </r>
  <r>
    <n v="290"/>
    <s v="CA-2018-110772"/>
    <d v="2018-11-20T00:00:00"/>
    <s v="Second Class"/>
    <s v="Nick Zandusky"/>
    <s v="Columbus"/>
    <s v="Ohio"/>
    <s v="East"/>
    <s v="Office Supplies"/>
    <s v="Fasteners"/>
    <s v="Advantus SlideClip Paper Clips"/>
    <n v="19.096"/>
    <n v="7"/>
    <n v="0.2"/>
    <n v="6.6835999999999993"/>
  </r>
  <r>
    <n v="291"/>
    <s v="CA-2018-110772"/>
    <d v="2018-11-20T00:00:00"/>
    <s v="Second Class"/>
    <s v="Nick Zandusky"/>
    <s v="Columbus"/>
    <s v="Ohio"/>
    <s v="East"/>
    <s v="Office Supplies"/>
    <s v="Labels"/>
    <s v="Avery 512"/>
    <n v="18.496000000000002"/>
    <n v="8"/>
    <n v="0.2"/>
    <n v="6.2423999999999999"/>
  </r>
  <r>
    <n v="292"/>
    <s v="CA-2018-110772"/>
    <d v="2018-11-20T00:00:00"/>
    <s v="Second Class"/>
    <s v="Nick Zandusky"/>
    <s v="Columbus"/>
    <s v="Ohio"/>
    <s v="East"/>
    <s v="Technology"/>
    <s v="Accessories"/>
    <s v="Logitech Wireless Gaming Headset G930"/>
    <n v="255.98400000000004"/>
    <n v="2"/>
    <n v="0.2"/>
    <n v="54.396600000000007"/>
  </r>
  <r>
    <n v="293"/>
    <s v="CA-2018-110772"/>
    <d v="2018-11-20T00:00:00"/>
    <s v="Second Class"/>
    <s v="Nick Zandusky"/>
    <s v="Columbus"/>
    <s v="Ohio"/>
    <s v="East"/>
    <s v="Furniture"/>
    <s v="Bookcases"/>
    <s v="Bush Westfield Collection Bookcases, Medium Cherry Finish"/>
    <n v="86.97"/>
    <n v="3"/>
    <n v="0.5"/>
    <n v="-48.703199999999995"/>
  </r>
  <r>
    <n v="294"/>
    <s v="CA-2016-111451"/>
    <d v="2016-12-26T00:00:00"/>
    <s v="First Class"/>
    <s v="Kelly Lampkin"/>
    <s v="Colorado Springs"/>
    <s v="Colorado"/>
    <s v="West"/>
    <s v="Furniture"/>
    <s v="Furnishings"/>
    <s v="Howard Miller 13&quot; Diameter Goldtone Round Wall Clock"/>
    <n v="300.416"/>
    <n v="8"/>
    <n v="0.2"/>
    <n v="78.859200000000001"/>
  </r>
  <r>
    <n v="295"/>
    <s v="CA-2016-111451"/>
    <d v="2016-12-26T00:00:00"/>
    <s v="First Class"/>
    <s v="Kelly Lampkin"/>
    <s v="Colorado Springs"/>
    <s v="Colorado"/>
    <s v="West"/>
    <s v="Furniture"/>
    <s v="Chairs"/>
    <s v="Global Deluxe Office Fabric Chairs"/>
    <n v="230.35200000000003"/>
    <n v="3"/>
    <n v="0.2"/>
    <n v="20.155800000000013"/>
  </r>
  <r>
    <n v="296"/>
    <s v="CA-2016-111451"/>
    <d v="2016-12-26T00:00:00"/>
    <s v="First Class"/>
    <s v="Kelly Lampkin"/>
    <s v="Colorado Springs"/>
    <s v="Colorado"/>
    <s v="West"/>
    <s v="Furniture"/>
    <s v="Furnishings"/>
    <s v="Eldon ClusterMat Chair Mat with Cordless Antistatic Protection"/>
    <n v="218.35200000000003"/>
    <n v="3"/>
    <n v="0.2"/>
    <n v="-24.564599999999999"/>
  </r>
  <r>
    <n v="297"/>
    <s v="CA-2016-111451"/>
    <d v="2016-12-26T00:00:00"/>
    <s v="First Class"/>
    <s v="Kelly Lampkin"/>
    <s v="Colorado Springs"/>
    <s v="Colorado"/>
    <s v="West"/>
    <s v="Office Supplies"/>
    <s v="Binders"/>
    <s v="Ibico Laser Imprintable Binding System Covers"/>
    <n v="78.600000000000009"/>
    <n v="5"/>
    <n v="0.7"/>
    <n v="-62.88000000000001"/>
  </r>
  <r>
    <n v="298"/>
    <s v="CA-2016-111451"/>
    <d v="2016-12-26T00:00:00"/>
    <s v="First Class"/>
    <s v="Kelly Lampkin"/>
    <s v="Colorado Springs"/>
    <s v="Colorado"/>
    <s v="West"/>
    <s v="Office Supplies"/>
    <s v="Fasteners"/>
    <s v="Vinyl Coated Wire Paper Clips in Organizer Box, 800/Box"/>
    <n v="27.552000000000003"/>
    <n v="3"/>
    <n v="0.2"/>
    <n v="9.2987999999999964"/>
  </r>
  <r>
    <n v="299"/>
    <s v="CA-2018-142545"/>
    <d v="2018-10-28T00:00:00"/>
    <s v="Standard Class"/>
    <s v="Jonathan Doherty"/>
    <s v="Belleville"/>
    <s v="New Jersey"/>
    <s v="East"/>
    <s v="Office Supplies"/>
    <s v="Paper"/>
    <s v="Xerox 223"/>
    <n v="32.400000000000006"/>
    <n v="5"/>
    <n v="0"/>
    <n v="15.552000000000001"/>
  </r>
  <r>
    <n v="300"/>
    <s v="CA-2018-142545"/>
    <d v="2018-10-28T00:00:00"/>
    <s v="Standard Class"/>
    <s v="Jonathan Doherty"/>
    <s v="Belleville"/>
    <s v="New Jersey"/>
    <s v="East"/>
    <s v="Office Supplies"/>
    <s v="Storage"/>
    <s v="Tennsco Stur-D-Stor Boltless Shelving, 5 Shelves, 24&quot; Deep, Sand"/>
    <n v="1082.48"/>
    <n v="8"/>
    <n v="0"/>
    <n v="10.824800000000096"/>
  </r>
  <r>
    <n v="301"/>
    <s v="CA-2018-142545"/>
    <d v="2018-10-28T00:00:00"/>
    <s v="Standard Class"/>
    <s v="Jonathan Doherty"/>
    <s v="Belleville"/>
    <s v="New Jersey"/>
    <s v="East"/>
    <s v="Office Supplies"/>
    <s v="Paper"/>
    <s v="Xerox 1939"/>
    <n v="56.91"/>
    <n v="3"/>
    <n v="0"/>
    <n v="27.316799999999997"/>
  </r>
  <r>
    <n v="302"/>
    <s v="CA-2018-142545"/>
    <d v="2018-10-28T00:00:00"/>
    <s v="Standard Class"/>
    <s v="Jonathan Doherty"/>
    <s v="Belleville"/>
    <s v="New Jersey"/>
    <s v="East"/>
    <s v="Furniture"/>
    <s v="Furnishings"/>
    <s v="Floodlight Indoor Halogen Bulbs, 1 Bulb per Pack, 60 Watts"/>
    <n v="77.599999999999994"/>
    <n v="4"/>
    <n v="0"/>
    <n v="38.023999999999994"/>
  </r>
  <r>
    <n v="303"/>
    <s v="CA-2018-142545"/>
    <d v="2018-10-28T00:00:00"/>
    <s v="Standard Class"/>
    <s v="Jonathan Doherty"/>
    <s v="Belleville"/>
    <s v="New Jersey"/>
    <s v="East"/>
    <s v="Office Supplies"/>
    <s v="Binders"/>
    <s v="Avery Premier Heavy-Duty Binder with Round Locking Rings"/>
    <n v="14.28"/>
    <n v="1"/>
    <n v="0"/>
    <n v="6.5687999999999995"/>
  </r>
  <r>
    <n v="304"/>
    <s v="US-2019-152380"/>
    <d v="2019-11-19T00:00:00"/>
    <s v="Standard Class"/>
    <s v="Jonathan Howell"/>
    <s v="Chicago"/>
    <s v="Illinois"/>
    <s v="Central"/>
    <s v="Furniture"/>
    <s v="Tables"/>
    <s v="BPI Conference Tables"/>
    <n v="219.07500000000002"/>
    <n v="3"/>
    <n v="0.5"/>
    <n v="-131.44500000000005"/>
  </r>
  <r>
    <n v="305"/>
    <s v="CA-2017-144253"/>
    <d v="2017-05-04T00:00:00"/>
    <s v="Second Class"/>
    <s v="Alan Schoenberger"/>
    <s v="New York City"/>
    <s v="New York"/>
    <s v="East"/>
    <s v="Furniture"/>
    <s v="Furnishings"/>
    <s v="Electrix 20W Halogen Replacement Bulb for Zoom-In Desk Lamp"/>
    <n v="26.8"/>
    <n v="2"/>
    <n v="0"/>
    <n v="12.863999999999999"/>
  </r>
  <r>
    <n v="306"/>
    <s v="CA-2016-130960"/>
    <d v="2016-12-30T00:00:00"/>
    <s v="Standard Class"/>
    <s v="Ken Brennan"/>
    <s v="Taylor"/>
    <s v="Michigan"/>
    <s v="Central"/>
    <s v="Office Supplies"/>
    <s v="Art"/>
    <s v="Newell 350"/>
    <n v="9.84"/>
    <n v="3"/>
    <n v="0"/>
    <n v="2.8535999999999988"/>
  </r>
  <r>
    <n v="307"/>
    <s v="CA-2016-111003"/>
    <d v="2016-06-01T00:00:00"/>
    <s v="Standard Class"/>
    <s v="Corey Roper"/>
    <s v="Lakewood"/>
    <s v="New Jersey"/>
    <s v="East"/>
    <s v="Office Supplies"/>
    <s v="Binders"/>
    <s v="GBC Clear Cover, 8-1/2 x 11, unpunched, 25 covers per pack"/>
    <n v="45.480000000000004"/>
    <n v="3"/>
    <n v="0"/>
    <n v="20.9208"/>
  </r>
  <r>
    <n v="308"/>
    <s v="CA-2016-111003"/>
    <d v="2016-06-01T00:00:00"/>
    <s v="Standard Class"/>
    <s v="Corey Roper"/>
    <s v="Lakewood"/>
    <s v="New Jersey"/>
    <s v="East"/>
    <s v="Office Supplies"/>
    <s v="Art"/>
    <s v="Boston Heavy-Duty Trimline Electric Pencil Sharpeners"/>
    <n v="289.20000000000005"/>
    <n v="6"/>
    <n v="0"/>
    <n v="83.867999999999967"/>
  </r>
  <r>
    <n v="309"/>
    <s v="CA-2019-126774"/>
    <d v="2019-04-15T00:00:00"/>
    <s v="First Class"/>
    <s v="Shahid Hopkins"/>
    <s v="Arlington"/>
    <s v="Virginia"/>
    <s v="South"/>
    <s v="Office Supplies"/>
    <s v="Art"/>
    <s v="Faber Castell Col-Erase Pencils"/>
    <n v="4.8899999999999997"/>
    <n v="1"/>
    <n v="0"/>
    <n v="2.0049000000000001"/>
  </r>
  <r>
    <n v="310"/>
    <s v="CA-2018-142902"/>
    <d v="2018-09-12T00:00:00"/>
    <s v="Second Class"/>
    <s v="Ben Peterman"/>
    <s v="Arvada"/>
    <s v="Colorado"/>
    <s v="West"/>
    <s v="Furniture"/>
    <s v="Furnishings"/>
    <s v="C-Line Cubicle Keepers Polyproplyene Holder With Velcro Backings"/>
    <n v="15.136000000000003"/>
    <n v="4"/>
    <n v="0.2"/>
    <n v="3.5948000000000011"/>
  </r>
  <r>
    <n v="311"/>
    <s v="CA-2018-142902"/>
    <d v="2018-09-12T00:00:00"/>
    <s v="Second Class"/>
    <s v="Ben Peterman"/>
    <s v="Arvada"/>
    <s v="Colorado"/>
    <s v="West"/>
    <s v="Furniture"/>
    <s v="Chairs"/>
    <s v="Hon 4070 Series Pagoda Armless Upholstered Stacking Chairs"/>
    <n v="466.76800000000003"/>
    <n v="2"/>
    <n v="0.2"/>
    <n v="52.511399999999981"/>
  </r>
  <r>
    <n v="312"/>
    <s v="CA-2018-142902"/>
    <d v="2018-09-12T00:00:00"/>
    <s v="Second Class"/>
    <s v="Ben Peterman"/>
    <s v="Arvada"/>
    <s v="Colorado"/>
    <s v="West"/>
    <s v="Furniture"/>
    <s v="Furnishings"/>
    <s v="Eldon Expressions Desk Accessory, Wood Photo Frame, Mahogany"/>
    <n v="15.231999999999999"/>
    <n v="1"/>
    <n v="0.2"/>
    <n v="1.7135999999999978"/>
  </r>
  <r>
    <n v="313"/>
    <s v="CA-2018-142902"/>
    <d v="2018-09-12T00:00:00"/>
    <s v="Second Class"/>
    <s v="Ben Peterman"/>
    <s v="Arvada"/>
    <s v="Colorado"/>
    <s v="West"/>
    <s v="Office Supplies"/>
    <s v="Labels"/>
    <s v="Avery 509"/>
    <n v="6.2640000000000002"/>
    <n v="3"/>
    <n v="0.2"/>
    <n v="2.0358000000000001"/>
  </r>
  <r>
    <n v="314"/>
    <s v="CA-2016-120887"/>
    <d v="2016-09-27T00:00:00"/>
    <s v="Standard Class"/>
    <s v="Thomas Seio"/>
    <s v="Hackensack"/>
    <s v="New Jersey"/>
    <s v="East"/>
    <s v="Furniture"/>
    <s v="Furnishings"/>
    <s v="Deflect-o SuperTray Unbreakable Stackable Tray, Letter, Black"/>
    <n v="87.539999999999992"/>
    <n v="3"/>
    <n v="0"/>
    <n v="37.642200000000003"/>
  </r>
  <r>
    <n v="315"/>
    <s v="CA-2016-167850"/>
    <d v="2016-08-09T00:00:00"/>
    <s v="Standard Class"/>
    <s v="Andy Gerbode"/>
    <s v="Saint Petersburg"/>
    <s v="Florida"/>
    <s v="South"/>
    <s v="Technology"/>
    <s v="Phones"/>
    <s v="AT&amp;T 1070 Corded Phone"/>
    <n v="178.38400000000001"/>
    <n v="2"/>
    <n v="0.2"/>
    <n v="22.297999999999973"/>
  </r>
  <r>
    <n v="316"/>
    <s v="CA-2016-167850"/>
    <d v="2016-08-09T00:00:00"/>
    <s v="Standard Class"/>
    <s v="Andy Gerbode"/>
    <s v="Saint Petersburg"/>
    <s v="Florida"/>
    <s v="South"/>
    <s v="Office Supplies"/>
    <s v="Paper"/>
    <s v="Xerox 21"/>
    <n v="15.552000000000003"/>
    <n v="3"/>
    <n v="0.2"/>
    <n v="5.4432"/>
  </r>
  <r>
    <n v="317"/>
    <s v="CA-2016-164259"/>
    <d v="2016-12-28T00:00:00"/>
    <s v="First Class"/>
    <s v="Sung Pak"/>
    <s v="Philadelphia"/>
    <s v="Pennsylvania"/>
    <s v="East"/>
    <s v="Office Supplies"/>
    <s v="Art"/>
    <s v="Boston School Pro Electric Pencil Sharpener, 1670"/>
    <n v="99.13600000000001"/>
    <n v="4"/>
    <n v="0.2"/>
    <n v="8.674399999999995"/>
  </r>
  <r>
    <n v="318"/>
    <s v="CA-2016-164973"/>
    <d v="2016-11-04T00:00:00"/>
    <s v="Standard Class"/>
    <s v="Nathan Mautz"/>
    <s v="New York City"/>
    <s v="New York"/>
    <s v="East"/>
    <s v="Furniture"/>
    <s v="Chairs"/>
    <s v="DMI Arturo Collection Mission-style Design Wood Chair"/>
    <n v="135.88200000000001"/>
    <n v="1"/>
    <n v="0.1"/>
    <n v="24.156800000000004"/>
  </r>
  <r>
    <n v="319"/>
    <s v="CA-2016-164973"/>
    <d v="2016-11-04T00:00:00"/>
    <s v="Standard Class"/>
    <s v="Nathan Mautz"/>
    <s v="New York City"/>
    <s v="New York"/>
    <s v="East"/>
    <s v="Technology"/>
    <s v="Machines"/>
    <s v="Canon imageCLASS MF7460 Monochrome Digital Laser Multifunction Copier"/>
    <n v="3991.98"/>
    <n v="2"/>
    <n v="0"/>
    <n v="1995.99"/>
  </r>
  <r>
    <n v="320"/>
    <s v="CA-2016-164973"/>
    <d v="2016-11-04T00:00:00"/>
    <s v="Standard Class"/>
    <s v="Nathan Mautz"/>
    <s v="New York City"/>
    <s v="New York"/>
    <s v="East"/>
    <s v="Technology"/>
    <s v="Phones"/>
    <s v="Panasonic Kx-TS550"/>
    <n v="275.94"/>
    <n v="6"/>
    <n v="0"/>
    <n v="80.022599999999997"/>
  </r>
  <r>
    <n v="321"/>
    <s v="CA-2016-164973"/>
    <d v="2016-11-04T00:00:00"/>
    <s v="Standard Class"/>
    <s v="Nathan Mautz"/>
    <s v="New York City"/>
    <s v="New York"/>
    <s v="East"/>
    <s v="Technology"/>
    <s v="Accessories"/>
    <s v="NETGEAR N750 Dual Band Wi-Fi Gigabit Router"/>
    <n v="360"/>
    <n v="4"/>
    <n v="0"/>
    <n v="129.6"/>
  </r>
  <r>
    <n v="322"/>
    <s v="CA-2016-164973"/>
    <d v="2016-11-04T00:00:00"/>
    <s v="Standard Class"/>
    <s v="Nathan Mautz"/>
    <s v="New York City"/>
    <s v="New York"/>
    <s v="East"/>
    <s v="Office Supplies"/>
    <s v="Storage"/>
    <s v="Trav-L-File Heavy-Duty Shuttle II, Black"/>
    <n v="43.57"/>
    <n v="1"/>
    <n v="0"/>
    <n v="13.070999999999998"/>
  </r>
  <r>
    <n v="323"/>
    <s v="CA-2016-156601"/>
    <d v="2016-09-19T00:00:00"/>
    <s v="Standard Class"/>
    <s v="Frank Atkinson"/>
    <s v="Long Beach"/>
    <s v="California"/>
    <s v="West"/>
    <s v="Office Supplies"/>
    <s v="Fasteners"/>
    <s v="OIC Binder Clips"/>
    <n v="7.16"/>
    <n v="2"/>
    <n v="0"/>
    <n v="3.58"/>
  </r>
  <r>
    <n v="324"/>
    <s v="CA-2018-162138"/>
    <d v="2018-04-23T00:00:00"/>
    <s v="Standard Class"/>
    <s v="Grace Kelly"/>
    <s v="Hesperia"/>
    <s v="California"/>
    <s v="West"/>
    <s v="Office Supplies"/>
    <s v="Binders"/>
    <s v="Ibico Laser Imprintable Binding System Covers"/>
    <n v="251.52"/>
    <n v="6"/>
    <n v="0.2"/>
    <n v="81.744"/>
  </r>
  <r>
    <n v="325"/>
    <s v="CA-2018-162138"/>
    <d v="2018-04-23T00:00:00"/>
    <s v="Standard Class"/>
    <s v="Grace Kelly"/>
    <s v="Hesperia"/>
    <s v="California"/>
    <s v="West"/>
    <s v="Technology"/>
    <s v="Accessories"/>
    <s v="Logitech Wireless Headset h800"/>
    <n v="99.99"/>
    <n v="1"/>
    <n v="0"/>
    <n v="34.996499999999997"/>
  </r>
  <r>
    <n v="326"/>
    <s v="CA-2019-153339"/>
    <d v="2019-11-03T00:00:00"/>
    <s v="Second Class"/>
    <s v="Don Jones"/>
    <s v="Murfreesboro"/>
    <s v="Tennessee"/>
    <s v="South"/>
    <s v="Furniture"/>
    <s v="Furnishings"/>
    <s v="Telescoping Adjustable Floor Lamp"/>
    <n v="15.991999999999999"/>
    <n v="1"/>
    <n v="0.2"/>
    <n v="0.99949999999999894"/>
  </r>
  <r>
    <n v="327"/>
    <s v="US-2018-141544"/>
    <d v="2018-08-30T00:00:00"/>
    <s v="First Class"/>
    <s v="Patrick O'Brill"/>
    <s v="Philadelphia"/>
    <s v="Pennsylvania"/>
    <s v="East"/>
    <s v="Technology"/>
    <s v="Phones"/>
    <s v="Aastra 57i VoIP phone"/>
    <n v="290.89800000000002"/>
    <n v="3"/>
    <n v="0.4"/>
    <n v="-67.876199999999997"/>
  </r>
  <r>
    <n v="328"/>
    <s v="US-2018-141544"/>
    <d v="2018-08-30T00:00:00"/>
    <s v="First Class"/>
    <s v="Patrick O'Brill"/>
    <s v="Philadelphia"/>
    <s v="Pennsylvania"/>
    <s v="East"/>
    <s v="Office Supplies"/>
    <s v="Storage"/>
    <s v="File Shuttle II and Handi-File, Black"/>
    <n v="54.224000000000004"/>
    <n v="2"/>
    <n v="0.2"/>
    <n v="3.3889999999999993"/>
  </r>
  <r>
    <n v="329"/>
    <s v="US-2018-141544"/>
    <d v="2018-08-30T00:00:00"/>
    <s v="First Class"/>
    <s v="Patrick O'Brill"/>
    <s v="Philadelphia"/>
    <s v="Pennsylvania"/>
    <s v="East"/>
    <s v="Furniture"/>
    <s v="Chairs"/>
    <s v="Hon 2090 “Pillow Soft” Series Mid Back Swivel/Tilt Chairs"/>
    <n v="786.74400000000003"/>
    <n v="4"/>
    <n v="0.3"/>
    <n v="-258.50160000000011"/>
  </r>
  <r>
    <n v="330"/>
    <s v="US-2018-141544"/>
    <d v="2018-08-30T00:00:00"/>
    <s v="First Class"/>
    <s v="Patrick O'Brill"/>
    <s v="Philadelphia"/>
    <s v="Pennsylvania"/>
    <s v="East"/>
    <s v="Office Supplies"/>
    <s v="Labels"/>
    <s v="Round Specialty Laser Printer Labels"/>
    <n v="100.24000000000001"/>
    <n v="10"/>
    <n v="0.2"/>
    <n v="33.830999999999989"/>
  </r>
  <r>
    <n v="331"/>
    <s v="US-2018-141544"/>
    <d v="2018-08-30T00:00:00"/>
    <s v="First Class"/>
    <s v="Patrick O'Brill"/>
    <s v="Philadelphia"/>
    <s v="Pennsylvania"/>
    <s v="East"/>
    <s v="Office Supplies"/>
    <s v="Binders"/>
    <s v="GBC Premium Transparent Covers with Diagonal Lined Pattern"/>
    <n v="37.76400000000001"/>
    <n v="6"/>
    <n v="0.7"/>
    <n v="-27.693600000000004"/>
  </r>
  <r>
    <n v="332"/>
    <s v="US-2018-150147"/>
    <d v="2018-04-25T00:00:00"/>
    <s v="Second Class"/>
    <s v="John Lucas"/>
    <s v="Philadelphia"/>
    <s v="Pennsylvania"/>
    <s v="East"/>
    <s v="Technology"/>
    <s v="Phones"/>
    <s v="AT&amp;T 841000 Phone"/>
    <n v="82.8"/>
    <n v="2"/>
    <n v="0.4"/>
    <n v="-20.700000000000003"/>
  </r>
  <r>
    <n v="333"/>
    <s v="US-2018-150147"/>
    <d v="2018-04-25T00:00:00"/>
    <s v="Second Class"/>
    <s v="John Lucas"/>
    <s v="Philadelphia"/>
    <s v="Pennsylvania"/>
    <s v="East"/>
    <s v="Office Supplies"/>
    <s v="Binders"/>
    <s v="Ibico Recycled Grain-Textured Covers"/>
    <n v="20.724000000000004"/>
    <n v="2"/>
    <n v="0.7"/>
    <n v="-13.815999999999995"/>
  </r>
  <r>
    <n v="334"/>
    <s v="US-2018-150147"/>
    <d v="2018-04-25T00:00:00"/>
    <s v="Second Class"/>
    <s v="John Lucas"/>
    <s v="Philadelphia"/>
    <s v="Pennsylvania"/>
    <s v="East"/>
    <s v="Office Supplies"/>
    <s v="Binders"/>
    <s v="Wilson Jones Custom Binder Spines &amp; Labels"/>
    <n v="4.8960000000000008"/>
    <n v="3"/>
    <n v="0.7"/>
    <n v="-3.4271999999999991"/>
  </r>
  <r>
    <n v="335"/>
    <s v="CA-2017-137946"/>
    <d v="2017-09-01T00:00:00"/>
    <s v="Second Class"/>
    <s v="Doug Bickford"/>
    <s v="Los Angeles"/>
    <s v="California"/>
    <s v="West"/>
    <s v="Office Supplies"/>
    <s v="Binders"/>
    <s v="Storex Dura Pro Binders"/>
    <n v="4.7520000000000007"/>
    <n v="1"/>
    <n v="0.2"/>
    <n v="1.6037999999999997"/>
  </r>
  <r>
    <n v="336"/>
    <s v="CA-2017-137946"/>
    <d v="2017-09-01T00:00:00"/>
    <s v="Second Class"/>
    <s v="Doug Bickford"/>
    <s v="Los Angeles"/>
    <s v="California"/>
    <s v="West"/>
    <s v="Technology"/>
    <s v="Copiers"/>
    <s v="Hewlett Packard LaserJet 3310 Copier"/>
    <n v="959.98400000000004"/>
    <n v="2"/>
    <n v="0.2"/>
    <n v="335.99440000000004"/>
  </r>
  <r>
    <n v="337"/>
    <s v="CA-2017-137946"/>
    <d v="2017-09-01T00:00:00"/>
    <s v="Second Class"/>
    <s v="Doug Bickford"/>
    <s v="Los Angeles"/>
    <s v="California"/>
    <s v="West"/>
    <s v="Office Supplies"/>
    <s v="Binders"/>
    <s v="Avery Non-Stick Binders"/>
    <n v="14.368000000000002"/>
    <n v="4"/>
    <n v="0.2"/>
    <n v="4.4899999999999984"/>
  </r>
  <r>
    <n v="338"/>
    <s v="CA-2016-129924"/>
    <d v="2016-07-12T00:00:00"/>
    <s v="Standard Class"/>
    <s v="Alyssa Crouse"/>
    <s v="San Francisco"/>
    <s v="California"/>
    <s v="West"/>
    <s v="Office Supplies"/>
    <s v="Binders"/>
    <s v="Tuff Stuff Recycled Round Ring Binders"/>
    <n v="7.7120000000000006"/>
    <n v="2"/>
    <n v="0.2"/>
    <n v="2.7956000000000003"/>
  </r>
  <r>
    <n v="339"/>
    <s v="CA-2016-129924"/>
    <d v="2016-07-12T00:00:00"/>
    <s v="Standard Class"/>
    <s v="Alyssa Crouse"/>
    <s v="San Francisco"/>
    <s v="California"/>
    <s v="West"/>
    <s v="Furniture"/>
    <s v="Tables"/>
    <s v="Hon 5100 Series Wood Tables"/>
    <n v="698.35200000000009"/>
    <n v="3"/>
    <n v="0.2"/>
    <n v="-17.458800000000053"/>
  </r>
  <r>
    <n v="340"/>
    <s v="CA-2017-128167"/>
    <d v="2017-06-22T00:00:00"/>
    <s v="Second Class"/>
    <s v="Ken Lonsdale"/>
    <s v="Layton"/>
    <s v="Utah"/>
    <s v="West"/>
    <s v="Office Supplies"/>
    <s v="Fasteners"/>
    <s v="OIC Binder Clips, Mini, 1/4&quot; Capacity, Black"/>
    <n v="4.96"/>
    <n v="4"/>
    <n v="0"/>
    <n v="2.3311999999999999"/>
  </r>
  <r>
    <n v="341"/>
    <s v="CA-2016-122336"/>
    <d v="2016-04-13T00:00:00"/>
    <s v="Second Class"/>
    <s v="Jonathan Doherty"/>
    <s v="Philadelphia"/>
    <s v="Pennsylvania"/>
    <s v="East"/>
    <s v="Office Supplies"/>
    <s v="Art"/>
    <s v="Newell 314"/>
    <n v="17.856000000000002"/>
    <n v="4"/>
    <n v="0.2"/>
    <n v="1.1159999999999979"/>
  </r>
  <r>
    <n v="342"/>
    <s v="CA-2016-122336"/>
    <d v="2016-04-13T00:00:00"/>
    <s v="Second Class"/>
    <s v="Jonathan Doherty"/>
    <s v="Philadelphia"/>
    <s v="Pennsylvania"/>
    <s v="East"/>
    <s v="Office Supplies"/>
    <s v="Binders"/>
    <s v="Fellowes PB200 Plastic Comb Binding Machine"/>
    <n v="509.97000000000008"/>
    <n v="10"/>
    <n v="0.7"/>
    <n v="-407.97599999999989"/>
  </r>
  <r>
    <n v="343"/>
    <s v="CA-2016-122336"/>
    <d v="2016-04-13T00:00:00"/>
    <s v="Second Class"/>
    <s v="Jonathan Doherty"/>
    <s v="Philadelphia"/>
    <s v="Pennsylvania"/>
    <s v="East"/>
    <s v="Office Supplies"/>
    <s v="Fasteners"/>
    <s v="Staples"/>
    <n v="30.991999999999997"/>
    <n v="13"/>
    <n v="0.2"/>
    <n v="10.072399999999996"/>
  </r>
  <r>
    <n v="344"/>
    <s v="CA-2016-122336"/>
    <d v="2016-04-13T00:00:00"/>
    <s v="Second Class"/>
    <s v="Jonathan Doherty"/>
    <s v="Philadelphia"/>
    <s v="Pennsylvania"/>
    <s v="East"/>
    <s v="Technology"/>
    <s v="Phones"/>
    <s v="Square Credit Card Reader, 4 1/2&quot; x 4 1/2&quot; x 1&quot;, White"/>
    <n v="71.927999999999997"/>
    <n v="12"/>
    <n v="0.4"/>
    <n v="8.3915999999999897"/>
  </r>
  <r>
    <n v="345"/>
    <s v="US-2017-120712"/>
    <d v="2017-12-20T00:00:00"/>
    <s v="Standard Class"/>
    <s v="Chad Sievert"/>
    <s v="Austin"/>
    <s v="Texas"/>
    <s v="Central"/>
    <s v="Office Supplies"/>
    <s v="Storage"/>
    <s v="Fellowes Super Stor/Drawer"/>
    <n v="88.800000000000011"/>
    <n v="4"/>
    <n v="0.2"/>
    <n v="-2.2200000000000131"/>
  </r>
  <r>
    <n v="346"/>
    <s v="CA-2019-169901"/>
    <d v="2019-06-15T00:00:00"/>
    <s v="Standard Class"/>
    <s v="Clay Cheatham"/>
    <s v="San Francisco"/>
    <s v="California"/>
    <s v="West"/>
    <s v="Technology"/>
    <s v="Phones"/>
    <s v="Anker 36W 4-Port USB Wall Charger Travel Power Adapter for iPhone 5s 5c 5"/>
    <n v="47.975999999999999"/>
    <n v="3"/>
    <n v="0.2"/>
    <n v="4.7976000000000028"/>
  </r>
  <r>
    <n v="347"/>
    <s v="CA-2019-134306"/>
    <d v="2019-07-08T00:00:00"/>
    <s v="Standard Class"/>
    <s v="Tamara Dahlen"/>
    <s v="Lowell"/>
    <s v="Massachusetts"/>
    <s v="East"/>
    <s v="Office Supplies"/>
    <s v="Art"/>
    <s v="Binney &amp; Smith inkTank Erasable Desk Highlighter, Chisel Tip, Yellow, 12/Box"/>
    <n v="7.5600000000000005"/>
    <n v="3"/>
    <n v="0"/>
    <n v="3.0996000000000006"/>
  </r>
  <r>
    <n v="348"/>
    <s v="CA-2019-134306"/>
    <d v="2019-07-08T00:00:00"/>
    <s v="Standard Class"/>
    <s v="Tamara Dahlen"/>
    <s v="Lowell"/>
    <s v="Massachusetts"/>
    <s v="East"/>
    <s v="Office Supplies"/>
    <s v="Paper"/>
    <s v="Easy-staple paper"/>
    <n v="24.56"/>
    <n v="2"/>
    <n v="0"/>
    <n v="11.543199999999999"/>
  </r>
  <r>
    <n v="349"/>
    <s v="CA-2019-134306"/>
    <d v="2019-07-08T00:00:00"/>
    <s v="Standard Class"/>
    <s v="Tamara Dahlen"/>
    <s v="Lowell"/>
    <s v="Massachusetts"/>
    <s v="East"/>
    <s v="Office Supplies"/>
    <s v="Art"/>
    <s v="BIC Brite Liner Highlighters, Chisel Tip"/>
    <n v="12.96"/>
    <n v="2"/>
    <n v="0"/>
    <n v="4.1471999999999998"/>
  </r>
  <r>
    <n v="350"/>
    <s v="CA-2018-129714"/>
    <d v="2018-09-01T00:00:00"/>
    <s v="First Class"/>
    <s v="Adam Bellavance"/>
    <s v="New York City"/>
    <s v="New York"/>
    <s v="East"/>
    <s v="Technology"/>
    <s v="Accessories"/>
    <s v="Sabrent 4-Port USB 2.0 Hub"/>
    <n v="6.79"/>
    <n v="1"/>
    <n v="0"/>
    <n v="2.3086000000000002"/>
  </r>
  <r>
    <n v="351"/>
    <s v="CA-2018-129714"/>
    <d v="2018-09-01T00:00:00"/>
    <s v="First Class"/>
    <s v="Adam Bellavance"/>
    <s v="New York City"/>
    <s v="New York"/>
    <s v="East"/>
    <s v="Office Supplies"/>
    <s v="Paper"/>
    <s v="Xerox 1881"/>
    <n v="24.56"/>
    <n v="2"/>
    <n v="0"/>
    <n v="11.543199999999999"/>
  </r>
  <r>
    <n v="352"/>
    <s v="CA-2018-129714"/>
    <d v="2018-09-01T00:00:00"/>
    <s v="First Class"/>
    <s v="Adam Bellavance"/>
    <s v="New York City"/>
    <s v="New York"/>
    <s v="East"/>
    <s v="Office Supplies"/>
    <s v="Binders"/>
    <s v="Acco Hanging Data Binders"/>
    <n v="3.048"/>
    <n v="1"/>
    <n v="0.2"/>
    <n v="1.0668"/>
  </r>
  <r>
    <n v="353"/>
    <s v="CA-2018-129714"/>
    <d v="2018-09-01T00:00:00"/>
    <s v="First Class"/>
    <s v="Adam Bellavance"/>
    <s v="New York City"/>
    <s v="New York"/>
    <s v="East"/>
    <s v="Office Supplies"/>
    <s v="Paper"/>
    <s v="Xerox 1881"/>
    <n v="49.12"/>
    <n v="4"/>
    <n v="0"/>
    <n v="23.086399999999998"/>
  </r>
  <r>
    <n v="354"/>
    <s v="CA-2018-129714"/>
    <d v="2018-09-01T00:00:00"/>
    <s v="First Class"/>
    <s v="Adam Bellavance"/>
    <s v="New York City"/>
    <s v="New York"/>
    <s v="East"/>
    <s v="Office Supplies"/>
    <s v="Binders"/>
    <s v="GBC DocuBind P400 Electric Binding System"/>
    <n v="4355.1680000000006"/>
    <n v="4"/>
    <n v="0.2"/>
    <n v="1415.4295999999997"/>
  </r>
  <r>
    <n v="355"/>
    <s v="CA-2018-138520"/>
    <d v="2018-04-08T00:00:00"/>
    <s v="Standard Class"/>
    <s v="Jeremy Lonsdale"/>
    <s v="New York City"/>
    <s v="New York"/>
    <s v="East"/>
    <s v="Furniture"/>
    <s v="Bookcases"/>
    <s v="Sauder Barrister Bookcases"/>
    <n v="388.70400000000006"/>
    <n v="6"/>
    <n v="0.2"/>
    <n v="-4.8588000000000022"/>
  </r>
  <r>
    <n v="356"/>
    <s v="CA-2018-138520"/>
    <d v="2018-04-08T00:00:00"/>
    <s v="Standard Class"/>
    <s v="Jeremy Lonsdale"/>
    <s v="New York City"/>
    <s v="New York"/>
    <s v="East"/>
    <s v="Office Supplies"/>
    <s v="Envelopes"/>
    <s v="#10 Gummed Flap White Envelopes, 100/Box"/>
    <n v="8.26"/>
    <n v="2"/>
    <n v="0"/>
    <n v="3.7995999999999999"/>
  </r>
  <r>
    <n v="357"/>
    <s v="CA-2018-138520"/>
    <d v="2018-04-08T00:00:00"/>
    <s v="Standard Class"/>
    <s v="Jeremy Lonsdale"/>
    <s v="New York City"/>
    <s v="New York"/>
    <s v="East"/>
    <s v="Office Supplies"/>
    <s v="Art"/>
    <s v="Dixon Prang Watercolor Pencils, 10-Color Set with Brush"/>
    <n v="17.04"/>
    <n v="4"/>
    <n v="0"/>
    <n v="6.9863999999999997"/>
  </r>
  <r>
    <n v="358"/>
    <s v="CA-2018-138520"/>
    <d v="2018-04-08T00:00:00"/>
    <s v="Standard Class"/>
    <s v="Jeremy Lonsdale"/>
    <s v="New York City"/>
    <s v="New York"/>
    <s v="East"/>
    <s v="Office Supplies"/>
    <s v="Paper"/>
    <s v="Adams Phone Message Book, 200 Message Capacity, 8 1/16” x 11”"/>
    <n v="34.4"/>
    <n v="5"/>
    <n v="0"/>
    <n v="15.823999999999998"/>
  </r>
  <r>
    <n v="359"/>
    <s v="CA-2018-130001"/>
    <d v="2018-04-23T00:00:00"/>
    <s v="Standard Class"/>
    <s v="Heather Kirkland"/>
    <s v="Charlotte"/>
    <s v="North Carolina"/>
    <s v="South"/>
    <s v="Office Supplies"/>
    <s v="Paper"/>
    <s v="Southworth 25% Cotton Linen-Finish Paper &amp; Envelopes"/>
    <n v="36.240000000000009"/>
    <n v="5"/>
    <n v="0.2"/>
    <n v="11.324999999999996"/>
  </r>
  <r>
    <n v="360"/>
    <s v="CA-2019-155698"/>
    <d v="2019-03-08T00:00:00"/>
    <s v="First Class"/>
    <s v="Victoria Brennan"/>
    <s v="Columbus"/>
    <s v="Georgia"/>
    <s v="South"/>
    <s v="Office Supplies"/>
    <s v="Appliances"/>
    <s v="Belkin 8 Outlet SurgeMaster II Gold Surge Protector with Phone Protection"/>
    <n v="647.84"/>
    <n v="8"/>
    <n v="0"/>
    <n v="168.4384"/>
  </r>
  <r>
    <n v="361"/>
    <s v="CA-2019-155698"/>
    <d v="2019-03-08T00:00:00"/>
    <s v="First Class"/>
    <s v="Victoria Brennan"/>
    <s v="Columbus"/>
    <s v="Georgia"/>
    <s v="South"/>
    <s v="Office Supplies"/>
    <s v="Labels"/>
    <s v="Avery Address/Shipping Labels for Typewriters, 4&quot; x 2&quot;"/>
    <n v="20.7"/>
    <n v="2"/>
    <n v="0"/>
    <n v="9.9359999999999999"/>
  </r>
  <r>
    <n v="362"/>
    <s v="CA-2019-144904"/>
    <d v="2019-09-25T00:00:00"/>
    <s v="Standard Class"/>
    <s v="Katrina Willman"/>
    <s v="New York City"/>
    <s v="New York"/>
    <s v="East"/>
    <s v="Office Supplies"/>
    <s v="Labels"/>
    <s v="Avery Address/Shipping Labels for Typewriters, 4&quot; x 2&quot;"/>
    <n v="20.7"/>
    <n v="2"/>
    <n v="0"/>
    <n v="9.9359999999999999"/>
  </r>
  <r>
    <n v="363"/>
    <s v="CA-2019-144904"/>
    <d v="2019-09-25T00:00:00"/>
    <s v="Standard Class"/>
    <s v="Katrina Willman"/>
    <s v="New York City"/>
    <s v="New York"/>
    <s v="East"/>
    <s v="Furniture"/>
    <s v="Chairs"/>
    <s v="Global Ergonomic Managers Chair"/>
    <n v="488.64600000000002"/>
    <n v="3"/>
    <n v="0.1"/>
    <n v="86.870400000000004"/>
  </r>
  <r>
    <n v="364"/>
    <s v="CA-2019-144904"/>
    <d v="2019-09-25T00:00:00"/>
    <s v="Standard Class"/>
    <s v="Katrina Willman"/>
    <s v="New York City"/>
    <s v="New York"/>
    <s v="East"/>
    <s v="Office Supplies"/>
    <s v="Art"/>
    <s v="Newell 333"/>
    <n v="5.56"/>
    <n v="2"/>
    <n v="0"/>
    <n v="1.4455999999999998"/>
  </r>
  <r>
    <n v="365"/>
    <s v="CA-2019-144904"/>
    <d v="2019-09-25T00:00:00"/>
    <s v="Standard Class"/>
    <s v="Katrina Willman"/>
    <s v="New York City"/>
    <s v="New York"/>
    <s v="East"/>
    <s v="Furniture"/>
    <s v="Furnishings"/>
    <s v="Eldon Wave Desk Accessories"/>
    <n v="47.12"/>
    <n v="8"/>
    <n v="0"/>
    <n v="20.732800000000001"/>
  </r>
  <r>
    <n v="366"/>
    <s v="CA-2016-123344"/>
    <d v="2016-09-24T00:00:00"/>
    <s v="Standard Class"/>
    <s v="Julia Dunbar"/>
    <s v="San Francisco"/>
    <s v="California"/>
    <s v="West"/>
    <s v="Office Supplies"/>
    <s v="Storage"/>
    <s v="Gould Plastics 9-Pocket Panel Bin, 18-3/8w x 5-1/4d x 20-1/2h, Black"/>
    <n v="211.96"/>
    <n v="4"/>
    <n v="0"/>
    <n v="8.4783999999999935"/>
  </r>
  <r>
    <n v="367"/>
    <s v="CA-2018-155516"/>
    <d v="2018-10-21T00:00:00"/>
    <s v="Same Day"/>
    <s v="Michael Kennedy"/>
    <s v="Manchester"/>
    <s v="Connecticut"/>
    <s v="East"/>
    <s v="Office Supplies"/>
    <s v="Binders"/>
    <s v="Wilson Jones “Snap” Scratch Pad Binder Tool for Ring Binders"/>
    <n v="23.2"/>
    <n v="4"/>
    <n v="0"/>
    <n v="10.44"/>
  </r>
  <r>
    <n v="368"/>
    <s v="CA-2018-155516"/>
    <d v="2018-10-21T00:00:00"/>
    <s v="Same Day"/>
    <s v="Michael Kennedy"/>
    <s v="Manchester"/>
    <s v="Connecticut"/>
    <s v="East"/>
    <s v="Office Supplies"/>
    <s v="Supplies"/>
    <s v="Staple remover"/>
    <n v="7.36"/>
    <n v="2"/>
    <n v="0"/>
    <n v="0.14719999999999978"/>
  </r>
  <r>
    <n v="369"/>
    <s v="CA-2018-155516"/>
    <d v="2018-10-21T00:00:00"/>
    <s v="Same Day"/>
    <s v="Michael Kennedy"/>
    <s v="Manchester"/>
    <s v="Connecticut"/>
    <s v="East"/>
    <s v="Office Supplies"/>
    <s v="Storage"/>
    <s v="Pizazz Global Quick File"/>
    <n v="104.79"/>
    <n v="7"/>
    <n v="0"/>
    <n v="29.341200000000008"/>
  </r>
  <r>
    <n v="370"/>
    <s v="CA-2018-155516"/>
    <d v="2018-10-21T00:00:00"/>
    <s v="Same Day"/>
    <s v="Michael Kennedy"/>
    <s v="Manchester"/>
    <s v="Connecticut"/>
    <s v="East"/>
    <s v="Furniture"/>
    <s v="Bookcases"/>
    <s v="Atlantic Metals Mobile 3-Shelf Bookcases, Custom Colors"/>
    <n v="1043.92"/>
    <n v="4"/>
    <n v="0"/>
    <n v="271.41920000000005"/>
  </r>
  <r>
    <n v="371"/>
    <s v="CA-2019-104745"/>
    <d v="2019-05-29T00:00:00"/>
    <s v="Standard Class"/>
    <s v="Guy Thornton"/>
    <s v="Harlingen"/>
    <s v="Texas"/>
    <s v="Central"/>
    <s v="Office Supplies"/>
    <s v="Paper"/>
    <s v="Xerox 1930"/>
    <n v="25.920000000000005"/>
    <n v="5"/>
    <n v="0.2"/>
    <n v="9.3960000000000008"/>
  </r>
  <r>
    <n v="372"/>
    <s v="CA-2019-104745"/>
    <d v="2019-05-29T00:00:00"/>
    <s v="Standard Class"/>
    <s v="Guy Thornton"/>
    <s v="Harlingen"/>
    <s v="Texas"/>
    <s v="Central"/>
    <s v="Office Supplies"/>
    <s v="Storage"/>
    <s v="File Shuttle I and Handi-File"/>
    <n v="53.424000000000007"/>
    <n v="3"/>
    <n v="0.2"/>
    <n v="4.6746000000000016"/>
  </r>
  <r>
    <n v="373"/>
    <s v="US-2016-119137"/>
    <d v="2016-07-23T00:00:00"/>
    <s v="Standard Class"/>
    <s v="Arthur Gainer"/>
    <s v="Tucson"/>
    <s v="Arizona"/>
    <s v="West"/>
    <s v="Office Supplies"/>
    <s v="Binders"/>
    <s v="Wilson Jones Custom Binder Spines &amp; Labels"/>
    <n v="8.1600000000000019"/>
    <n v="5"/>
    <n v="0.7"/>
    <n v="-5.7119999999999997"/>
  </r>
  <r>
    <n v="374"/>
    <s v="US-2016-119137"/>
    <d v="2016-07-23T00:00:00"/>
    <s v="Standard Class"/>
    <s v="Arthur Gainer"/>
    <s v="Tucson"/>
    <s v="Arizona"/>
    <s v="West"/>
    <s v="Technology"/>
    <s v="Accessories"/>
    <s v="NETGEAR AC1750 Dual Band Gigabit Smart WiFi Router"/>
    <n v="1023.9360000000001"/>
    <n v="8"/>
    <n v="0.2"/>
    <n v="179.1887999999999"/>
  </r>
  <r>
    <n v="375"/>
    <s v="US-2016-119137"/>
    <d v="2016-07-23T00:00:00"/>
    <s v="Standard Class"/>
    <s v="Arthur Gainer"/>
    <s v="Tucson"/>
    <s v="Arizona"/>
    <s v="West"/>
    <s v="Office Supplies"/>
    <s v="Art"/>
    <s v="Newell 324"/>
    <n v="9.24"/>
    <n v="1"/>
    <n v="0.2"/>
    <n v="0.92399999999999993"/>
  </r>
  <r>
    <n v="376"/>
    <s v="US-2016-119137"/>
    <d v="2016-07-23T00:00:00"/>
    <s v="Standard Class"/>
    <s v="Arthur Gainer"/>
    <s v="Tucson"/>
    <s v="Arizona"/>
    <s v="West"/>
    <s v="Technology"/>
    <s v="Accessories"/>
    <s v="Microsoft Natural Keyboard Elite"/>
    <n v="479.04"/>
    <n v="10"/>
    <n v="0.2"/>
    <n v="-29.940000000000012"/>
  </r>
  <r>
    <n v="377"/>
    <s v="US-2018-134656"/>
    <d v="2018-09-28T00:00:00"/>
    <s v="First Class"/>
    <s v="Muhammed MacIntyre"/>
    <s v="Quincy"/>
    <s v="Illinois"/>
    <s v="Central"/>
    <s v="Office Supplies"/>
    <s v="Paper"/>
    <s v="Xerox 1960"/>
    <n v="99.13600000000001"/>
    <n v="4"/>
    <n v="0.2"/>
    <n v="30.979999999999993"/>
  </r>
  <r>
    <n v="378"/>
    <s v="US-2019-134481"/>
    <d v="2019-08-27T00:00:00"/>
    <s v="Standard Class"/>
    <s v="Allen Rosenblatt"/>
    <s v="Franklin"/>
    <s v="Massachusetts"/>
    <s v="East"/>
    <s v="Furniture"/>
    <s v="Tables"/>
    <s v="Office Impressions End Table, 20-1/2&quot;H x 24&quot;W x 20&quot;D"/>
    <n v="1488.4239999999998"/>
    <n v="7"/>
    <n v="0.3"/>
    <n v="-297.68479999999983"/>
  </r>
  <r>
    <n v="379"/>
    <s v="CA-2017-130792"/>
    <d v="2017-04-28T00:00:00"/>
    <s v="Standard Class"/>
    <s v="Russell Applegate"/>
    <s v="Houston"/>
    <s v="Texas"/>
    <s v="Central"/>
    <s v="Office Supplies"/>
    <s v="Appliances"/>
    <s v="Holmes Odor Grabber"/>
    <n v="8.6519999999999975"/>
    <n v="3"/>
    <n v="0.8"/>
    <n v="-20.332200000000007"/>
  </r>
  <r>
    <n v="380"/>
    <s v="CA-2017-130792"/>
    <d v="2017-04-28T00:00:00"/>
    <s v="Standard Class"/>
    <s v="Russell Applegate"/>
    <s v="Houston"/>
    <s v="Texas"/>
    <s v="Central"/>
    <s v="Office Supplies"/>
    <s v="Storage"/>
    <s v="Akro-Mils 12-Gallon Tote"/>
    <n v="23.832000000000001"/>
    <n v="3"/>
    <n v="0.2"/>
    <n v="2.6810999999999954"/>
  </r>
  <r>
    <n v="381"/>
    <s v="CA-2017-130792"/>
    <d v="2017-04-28T00:00:00"/>
    <s v="Standard Class"/>
    <s v="Russell Applegate"/>
    <s v="Houston"/>
    <s v="Texas"/>
    <s v="Central"/>
    <s v="Office Supplies"/>
    <s v="Binders"/>
    <s v="GBC Twin Loop Wire Binding Elements, 9/16&quot; Spine, Black"/>
    <n v="12.175999999999998"/>
    <n v="4"/>
    <n v="0.8"/>
    <n v="-18.872800000000009"/>
  </r>
  <r>
    <n v="382"/>
    <s v="CA-2018-134775"/>
    <d v="2018-10-28T00:00:00"/>
    <s v="First Class"/>
    <s v="Alejandro Savely"/>
    <s v="San Francisco"/>
    <s v="California"/>
    <s v="West"/>
    <s v="Office Supplies"/>
    <s v="Paper"/>
    <s v="Southworth Structures Collection"/>
    <n v="50.96"/>
    <n v="7"/>
    <n v="0"/>
    <n v="25.48"/>
  </r>
  <r>
    <n v="383"/>
    <s v="CA-2018-134775"/>
    <d v="2018-10-28T00:00:00"/>
    <s v="First Class"/>
    <s v="Alejandro Savely"/>
    <s v="San Francisco"/>
    <s v="California"/>
    <s v="West"/>
    <s v="Office Supplies"/>
    <s v="Binders"/>
    <s v="Square Ring Data Binders, Rigid 75 Pt. Covers, 11&quot; x 14-7/8&quot;"/>
    <n v="49.536000000000001"/>
    <n v="3"/>
    <n v="0.2"/>
    <n v="17.337599999999998"/>
  </r>
  <r>
    <n v="384"/>
    <s v="CA-2017-125395"/>
    <d v="2017-06-26T00:00:00"/>
    <s v="Second Class"/>
    <s v="Laura Armstrong"/>
    <s v="Taylor"/>
    <s v="Michigan"/>
    <s v="Central"/>
    <s v="Technology"/>
    <s v="Accessories"/>
    <s v="Sony 32GB Class 10 Micro SDHC R40 Memory Card"/>
    <n v="41.9"/>
    <n v="2"/>
    <n v="0"/>
    <n v="8.7989999999999995"/>
  </r>
  <r>
    <n v="385"/>
    <s v="US-2017-168935"/>
    <d v="2017-11-27T00:00:00"/>
    <s v="Standard Class"/>
    <s v="Denny Ordway"/>
    <s v="Pembroke Pines"/>
    <s v="Florida"/>
    <s v="South"/>
    <s v="Furniture"/>
    <s v="Tables"/>
    <s v="Hon Practical Foundations 30 x 60 Training Table, Light Gray/Charcoal"/>
    <n v="375.45750000000004"/>
    <n v="3"/>
    <n v="0.45"/>
    <n v="-157.00949999999997"/>
  </r>
  <r>
    <n v="386"/>
    <s v="US-2017-168935"/>
    <d v="2017-11-27T00:00:00"/>
    <s v="Standard Class"/>
    <s v="Denny Ordway"/>
    <s v="Pembroke Pines"/>
    <s v="Florida"/>
    <s v="South"/>
    <s v="Technology"/>
    <s v="Accessories"/>
    <s v="Logitech Media Keyboard K200"/>
    <n v="83.976000000000013"/>
    <n v="3"/>
    <n v="0.2"/>
    <n v="-1.049700000000005"/>
  </r>
  <r>
    <n v="387"/>
    <s v="CA-2017-122756"/>
    <d v="2017-12-03T00:00:00"/>
    <s v="Standard Class"/>
    <s v="Dean Katz"/>
    <s v="Philadelphia"/>
    <s v="Pennsylvania"/>
    <s v="East"/>
    <s v="Technology"/>
    <s v="Machines"/>
    <s v="Lexmark MarkNet N8150 Wireless Print Server"/>
    <n v="482.34000000000003"/>
    <n v="4"/>
    <n v="0.7"/>
    <n v="-337.63799999999981"/>
  </r>
  <r>
    <n v="388"/>
    <s v="CA-2017-122756"/>
    <d v="2017-12-03T00:00:00"/>
    <s v="Standard Class"/>
    <s v="Dean Katz"/>
    <s v="Philadelphia"/>
    <s v="Pennsylvania"/>
    <s v="East"/>
    <s v="Furniture"/>
    <s v="Furnishings"/>
    <s v="3M Hangers With Command Adhesive"/>
    <n v="2.9600000000000004"/>
    <n v="1"/>
    <n v="0.2"/>
    <n v="0.77700000000000025"/>
  </r>
  <r>
    <n v="389"/>
    <s v="CA-2016-115973"/>
    <d v="2016-11-24T00:00:00"/>
    <s v="First Class"/>
    <s v="Nathan Gelder"/>
    <s v="Cincinnati"/>
    <s v="Ohio"/>
    <s v="East"/>
    <s v="Office Supplies"/>
    <s v="Art"/>
    <s v="Crayola Colored Pencils"/>
    <n v="2.6240000000000001"/>
    <n v="1"/>
    <n v="0.2"/>
    <n v="0.42639999999999978"/>
  </r>
  <r>
    <n v="390"/>
    <s v="CA-2019-101798"/>
    <d v="2019-12-11T00:00:00"/>
    <s v="Standard Class"/>
    <s v="Mike Vittorini"/>
    <s v="New York City"/>
    <s v="New York"/>
    <s v="East"/>
    <s v="Office Supplies"/>
    <s v="Binders"/>
    <s v="Angle-D Binders with Locking Rings, Label Holders"/>
    <n v="23.36"/>
    <n v="4"/>
    <n v="0.2"/>
    <n v="7.8839999999999986"/>
  </r>
  <r>
    <n v="391"/>
    <s v="CA-2019-101798"/>
    <d v="2019-12-11T00:00:00"/>
    <s v="Standard Class"/>
    <s v="Mike Vittorini"/>
    <s v="New York City"/>
    <s v="New York"/>
    <s v="East"/>
    <s v="Technology"/>
    <s v="Accessories"/>
    <s v="Logitech LS21 Speaker System - PC Multimedia - 2.1-CH - Wired"/>
    <n v="39.979999999999997"/>
    <n v="2"/>
    <n v="0"/>
    <n v="13.593199999999996"/>
  </r>
  <r>
    <n v="392"/>
    <s v="US-2016-135972"/>
    <d v="2016-09-21T00:00:00"/>
    <s v="Second Class"/>
    <s v="Jack Garza"/>
    <s v="Des Moines"/>
    <s v="Washington"/>
    <s v="West"/>
    <s v="Technology"/>
    <s v="Phones"/>
    <s v="Nortel Meridian M3904 Professional Digital phone"/>
    <n v="246.38400000000001"/>
    <n v="2"/>
    <n v="0.2"/>
    <n v="27.718199999999968"/>
  </r>
  <r>
    <n v="393"/>
    <s v="US-2016-135972"/>
    <d v="2016-09-21T00:00:00"/>
    <s v="Second Class"/>
    <s v="Jack Garza"/>
    <s v="Des Moines"/>
    <s v="Washington"/>
    <s v="West"/>
    <s v="Technology"/>
    <s v="Copiers"/>
    <s v="Canon PC1080F Personal Copier"/>
    <n v="1799.97"/>
    <n v="3"/>
    <n v="0"/>
    <n v="701.98829999999998"/>
  </r>
  <r>
    <n v="394"/>
    <s v="US-2016-134971"/>
    <d v="2016-06-07T00:00:00"/>
    <s v="Second Class"/>
    <s v="Bart Pistole"/>
    <s v="Peoria"/>
    <s v="Illinois"/>
    <s v="Central"/>
    <s v="Office Supplies"/>
    <s v="Binders"/>
    <s v="Wilson Jones Century Plastic Molded Ring Binders"/>
    <n v="12.461999999999996"/>
    <n v="3"/>
    <n v="0.8"/>
    <n v="-20.5623"/>
  </r>
  <r>
    <n v="395"/>
    <s v="CA-2019-102946"/>
    <d v="2019-06-30T00:00:00"/>
    <s v="Standard Class"/>
    <s v="Victor Preis"/>
    <s v="Las Vegas"/>
    <s v="Nevada"/>
    <s v="West"/>
    <s v="Office Supplies"/>
    <s v="Binders"/>
    <s v="Tuf-Vin Binders"/>
    <n v="75.792000000000002"/>
    <n v="3"/>
    <n v="0.2"/>
    <n v="25.579799999999992"/>
  </r>
  <r>
    <n v="396"/>
    <s v="CA-2019-165603"/>
    <d v="2019-10-17T00:00:00"/>
    <s v="Second Class"/>
    <s v="Saphhira Shifley"/>
    <s v="Warwick"/>
    <s v="Rhode Island"/>
    <s v="East"/>
    <s v="Office Supplies"/>
    <s v="Storage"/>
    <s v="2300 Heavy-Duty Transfer File Systems by Perma"/>
    <n v="49.96"/>
    <n v="2"/>
    <n v="0"/>
    <n v="9.4923999999999964"/>
  </r>
  <r>
    <n v="397"/>
    <s v="CA-2019-165603"/>
    <d v="2019-10-17T00:00:00"/>
    <s v="Second Class"/>
    <s v="Saphhira Shifley"/>
    <s v="Warwick"/>
    <s v="Rhode Island"/>
    <s v="East"/>
    <s v="Office Supplies"/>
    <s v="Paper"/>
    <s v="Xerox 1958"/>
    <n v="12.96"/>
    <n v="2"/>
    <n v="0"/>
    <n v="6.2208000000000006"/>
  </r>
  <r>
    <n v="398"/>
    <s v="CA-2017-122259"/>
    <d v="2017-10-31T00:00:00"/>
    <s v="Standard Class"/>
    <s v="Harold Pawlan"/>
    <s v="Jackson"/>
    <s v="Michigan"/>
    <s v="Central"/>
    <s v="Office Supplies"/>
    <s v="Supplies"/>
    <s v="Acme 10&quot; Easy Grip Assistive Scissors"/>
    <n v="70.12"/>
    <n v="4"/>
    <n v="0"/>
    <n v="21.035999999999994"/>
  </r>
  <r>
    <n v="399"/>
    <s v="CA-2018-108987"/>
    <d v="2018-09-08T00:00:00"/>
    <s v="Second Class"/>
    <s v="Anna Gayman"/>
    <s v="Houston"/>
    <s v="Texas"/>
    <s v="Central"/>
    <s v="Office Supplies"/>
    <s v="Storage"/>
    <s v="Super Decoflex Portable Personal File"/>
    <n v="35.952000000000005"/>
    <n v="3"/>
    <n v="0.2"/>
    <n v="3.5951999999999984"/>
  </r>
  <r>
    <n v="400"/>
    <s v="CA-2018-108987"/>
    <d v="2018-09-08T00:00:00"/>
    <s v="Second Class"/>
    <s v="Anna Gayman"/>
    <s v="Houston"/>
    <s v="Texas"/>
    <s v="Central"/>
    <s v="Furniture"/>
    <s v="Bookcases"/>
    <s v="Riverside Palais Royal Lawyers Bookcase, Royale Cherry Finish"/>
    <n v="2396.2655999999997"/>
    <n v="4"/>
    <n v="0.32"/>
    <n v="-317.15280000000007"/>
  </r>
  <r>
    <n v="401"/>
    <s v="CA-2018-108987"/>
    <d v="2018-09-08T00:00:00"/>
    <s v="Second Class"/>
    <s v="Anna Gayman"/>
    <s v="Houston"/>
    <s v="Texas"/>
    <s v="Central"/>
    <s v="Office Supplies"/>
    <s v="Storage"/>
    <s v="Contico 72&quot;H Heavy-Duty Storage System"/>
    <n v="131.136"/>
    <n v="4"/>
    <n v="0.2"/>
    <n v="-32.783999999999999"/>
  </r>
  <r>
    <n v="402"/>
    <s v="CA-2018-108987"/>
    <d v="2018-09-08T00:00:00"/>
    <s v="Second Class"/>
    <s v="Anna Gayman"/>
    <s v="Houston"/>
    <s v="Texas"/>
    <s v="Central"/>
    <s v="Technology"/>
    <s v="Accessories"/>
    <s v="Sony 64GB Class 10 Micro SDHC R40 Memory Card"/>
    <n v="57.584000000000003"/>
    <n v="2"/>
    <n v="0.2"/>
    <n v="0.71979999999999933"/>
  </r>
  <r>
    <n v="403"/>
    <s v="CA-2016-113166"/>
    <d v="2016-12-24T00:00:00"/>
    <s v="First Class"/>
    <s v="Luke Foster"/>
    <s v="Miami"/>
    <s v="Florida"/>
    <s v="South"/>
    <s v="Office Supplies"/>
    <s v="Paper"/>
    <s v="Xerox 1974"/>
    <n v="9.5680000000000014"/>
    <n v="2"/>
    <n v="0.2"/>
    <n v="3.4683999999999999"/>
  </r>
  <r>
    <n v="404"/>
    <s v="CA-2016-155208"/>
    <d v="2016-04-16T00:00:00"/>
    <s v="Standard Class"/>
    <s v="Stephanie Phelps"/>
    <s v="Wilmington"/>
    <s v="North Carolina"/>
    <s v="South"/>
    <s v="Office Supplies"/>
    <s v="Art"/>
    <s v="Avery Hi-Liter EverBold Pen Style Fluorescent Highlighters, 4/Pack"/>
    <n v="39.072000000000003"/>
    <n v="6"/>
    <n v="0.2"/>
    <n v="9.7680000000000007"/>
  </r>
  <r>
    <n v="405"/>
    <s v="CA-2019-117933"/>
    <d v="2019-12-24T00:00:00"/>
    <s v="Standard Class"/>
    <s v="Roy Französisch"/>
    <s v="New York City"/>
    <s v="New York"/>
    <s v="East"/>
    <s v="Office Supplies"/>
    <s v="Appliances"/>
    <s v="Staple holder"/>
    <n v="35.910000000000004"/>
    <n v="3"/>
    <n v="0"/>
    <n v="9.6956999999999987"/>
  </r>
  <r>
    <n v="406"/>
    <s v="CA-2019-117457"/>
    <d v="2019-12-08T00:00:00"/>
    <s v="Standard Class"/>
    <s v="Keith Herrera"/>
    <s v="San Francisco"/>
    <s v="California"/>
    <s v="West"/>
    <s v="Technology"/>
    <s v="Accessories"/>
    <s v="Sony 64GB Class 10 Micro SDHC R40 Memory Card"/>
    <n v="179.95000000000002"/>
    <n v="5"/>
    <n v="0"/>
    <n v="37.789500000000004"/>
  </r>
  <r>
    <n v="407"/>
    <s v="CA-2019-117457"/>
    <d v="2019-12-08T00:00:00"/>
    <s v="Standard Class"/>
    <s v="Keith Herrera"/>
    <s v="San Francisco"/>
    <s v="California"/>
    <s v="West"/>
    <s v="Technology"/>
    <s v="Copiers"/>
    <s v="Sharp AL-1530CS Digital Copier"/>
    <n v="1199.9760000000001"/>
    <n v="3"/>
    <n v="0.2"/>
    <n v="434.99130000000002"/>
  </r>
  <r>
    <n v="408"/>
    <s v="CA-2019-117457"/>
    <d v="2019-12-08T00:00:00"/>
    <s v="Standard Class"/>
    <s v="Keith Herrera"/>
    <s v="San Francisco"/>
    <s v="California"/>
    <s v="West"/>
    <s v="Office Supplies"/>
    <s v="Paper"/>
    <s v="Wirebound Message Book, 4 per Page"/>
    <n v="27.15"/>
    <n v="5"/>
    <n v="0"/>
    <n v="13.3035"/>
  </r>
  <r>
    <n v="409"/>
    <s v="CA-2019-117457"/>
    <d v="2019-12-08T00:00:00"/>
    <s v="Standard Class"/>
    <s v="Keith Herrera"/>
    <s v="San Francisco"/>
    <s v="California"/>
    <s v="West"/>
    <s v="Furniture"/>
    <s v="Tables"/>
    <s v="Bevis Round Conference Table Top, X-Base"/>
    <n v="1004.0239999999999"/>
    <n v="7"/>
    <n v="0.2"/>
    <n v="-112.95269999999994"/>
  </r>
  <r>
    <n v="410"/>
    <s v="CA-2019-117457"/>
    <d v="2019-12-08T00:00:00"/>
    <s v="Standard Class"/>
    <s v="Keith Herrera"/>
    <s v="San Francisco"/>
    <s v="California"/>
    <s v="West"/>
    <s v="Office Supplies"/>
    <s v="Paper"/>
    <s v="Wirebound Service Call Books, 5 1/2&quot; x 4&quot;"/>
    <n v="9.68"/>
    <n v="1"/>
    <n v="0"/>
    <n v="4.6463999999999999"/>
  </r>
  <r>
    <n v="411"/>
    <s v="CA-2019-117457"/>
    <d v="2019-12-08T00:00:00"/>
    <s v="Standard Class"/>
    <s v="Keith Herrera"/>
    <s v="San Francisco"/>
    <s v="California"/>
    <s v="West"/>
    <s v="Office Supplies"/>
    <s v="Labels"/>
    <s v="Self-Adhesive Removable Labels"/>
    <n v="28.349999999999998"/>
    <n v="9"/>
    <n v="0"/>
    <n v="13.608000000000001"/>
  </r>
  <r>
    <n v="412"/>
    <s v="CA-2019-117457"/>
    <d v="2019-12-08T00:00:00"/>
    <s v="Standard Class"/>
    <s v="Keith Herrera"/>
    <s v="San Francisco"/>
    <s v="California"/>
    <s v="West"/>
    <s v="Office Supplies"/>
    <s v="Paper"/>
    <s v="Xerox 1908"/>
    <n v="55.98"/>
    <n v="1"/>
    <n v="0"/>
    <n v="27.430199999999999"/>
  </r>
  <r>
    <n v="413"/>
    <s v="CA-2019-117457"/>
    <d v="2019-12-08T00:00:00"/>
    <s v="Standard Class"/>
    <s v="Keith Herrera"/>
    <s v="San Francisco"/>
    <s v="California"/>
    <s v="West"/>
    <s v="Furniture"/>
    <s v="Bookcases"/>
    <s v="O'Sullivan 4-Shelf Bookcase in Odessa Pine"/>
    <n v="1336.829"/>
    <n v="13"/>
    <n v="0.15"/>
    <n v="31.454799999999949"/>
  </r>
  <r>
    <n v="414"/>
    <s v="CA-2019-117457"/>
    <d v="2019-12-08T00:00:00"/>
    <s v="Standard Class"/>
    <s v="Keith Herrera"/>
    <s v="San Francisco"/>
    <s v="California"/>
    <s v="West"/>
    <s v="Furniture"/>
    <s v="Chairs"/>
    <s v="Novimex High-Tech Fabric Mesh Task Chair"/>
    <n v="113.56800000000001"/>
    <n v="2"/>
    <n v="0.2"/>
    <n v="-18.454800000000013"/>
  </r>
  <r>
    <n v="415"/>
    <s v="CA-2019-142636"/>
    <d v="2019-11-03T00:00:00"/>
    <s v="Standard Class"/>
    <s v="Kimberly Carter"/>
    <s v="Seattle"/>
    <s v="Washington"/>
    <s v="West"/>
    <s v="Office Supplies"/>
    <s v="Paper"/>
    <s v="Xerox 191"/>
    <n v="139.86000000000001"/>
    <n v="7"/>
    <n v="0"/>
    <n v="65.734199999999987"/>
  </r>
  <r>
    <n v="416"/>
    <s v="CA-2019-142636"/>
    <d v="2019-11-03T00:00:00"/>
    <s v="Standard Class"/>
    <s v="Kimberly Carter"/>
    <s v="Seattle"/>
    <s v="Washington"/>
    <s v="West"/>
    <s v="Furniture"/>
    <s v="Chairs"/>
    <s v="Global Deluxe Office Fabric Chairs"/>
    <n v="307.13600000000002"/>
    <n v="4"/>
    <n v="0.2"/>
    <n v="26.874400000000023"/>
  </r>
  <r>
    <n v="417"/>
    <s v="CA-2019-122105"/>
    <d v="2019-06-24T00:00:00"/>
    <s v="Standard Class"/>
    <s v="Caroline Jumper"/>
    <s v="Huntington Beach"/>
    <s v="California"/>
    <s v="West"/>
    <s v="Office Supplies"/>
    <s v="Art"/>
    <s v="Bulldog Vacuum Base Pencil Sharpener"/>
    <n v="95.92"/>
    <n v="8"/>
    <n v="0"/>
    <n v="25.898399999999995"/>
  </r>
  <r>
    <n v="418"/>
    <s v="CA-2018-148796"/>
    <d v="2018-04-14T00:00:00"/>
    <s v="Standard Class"/>
    <s v="Philip Brown"/>
    <s v="Los Angeles"/>
    <s v="California"/>
    <s v="West"/>
    <s v="Furniture"/>
    <s v="Chairs"/>
    <s v="Bevis Steel Folding Chairs"/>
    <n v="383.8"/>
    <n v="5"/>
    <n v="0.2"/>
    <n v="38.379999999999981"/>
  </r>
  <r>
    <n v="419"/>
    <s v="CA-2019-154816"/>
    <d v="2019-11-06T00:00:00"/>
    <s v="Standard Class"/>
    <s v="Victoria Brennan"/>
    <s v="Richmond"/>
    <s v="Kentucky"/>
    <s v="South"/>
    <s v="Office Supplies"/>
    <s v="Paper"/>
    <s v="Xerox 1987"/>
    <n v="5.78"/>
    <n v="1"/>
    <n v="0"/>
    <n v="2.8322000000000003"/>
  </r>
  <r>
    <n v="420"/>
    <s v="CA-2019-110478"/>
    <d v="2019-03-04T00:00:00"/>
    <s v="Standard Class"/>
    <s v="Sung Pak"/>
    <s v="Los Angeles"/>
    <s v="California"/>
    <s v="West"/>
    <s v="Office Supplies"/>
    <s v="Art"/>
    <s v="American Pencil"/>
    <n v="9.32"/>
    <n v="4"/>
    <n v="0"/>
    <n v="2.702799999999999"/>
  </r>
  <r>
    <n v="421"/>
    <s v="CA-2019-110478"/>
    <d v="2019-03-04T00:00:00"/>
    <s v="Standard Class"/>
    <s v="Sung Pak"/>
    <s v="Los Angeles"/>
    <s v="California"/>
    <s v="West"/>
    <s v="Office Supplies"/>
    <s v="Envelopes"/>
    <s v="White Envelopes, White Envelopes with Clear Poly Window"/>
    <n v="15.25"/>
    <n v="1"/>
    <n v="0"/>
    <n v="7.0149999999999988"/>
  </r>
  <r>
    <n v="422"/>
    <s v="CA-2016-142048"/>
    <d v="2016-06-22T00:00:00"/>
    <s v="First Class"/>
    <s v="Joel Eaton"/>
    <s v="Louisville"/>
    <s v="Colorado"/>
    <s v="West"/>
    <s v="Technology"/>
    <s v="Accessories"/>
    <s v="KeyTronic 6101 Series - Keyboard - Black"/>
    <n v="196.75200000000001"/>
    <n v="6"/>
    <n v="0.2"/>
    <n v="56.566200000000009"/>
  </r>
  <r>
    <n v="423"/>
    <s v="CA-2019-125388"/>
    <d v="2019-10-19T00:00:00"/>
    <s v="Standard Class"/>
    <s v="Michael Paige"/>
    <s v="Lawrence"/>
    <s v="Massachusetts"/>
    <s v="East"/>
    <s v="Furniture"/>
    <s v="Furnishings"/>
    <s v="Westinghouse Mesh Shade Clip-On Gooseneck Lamp, Black"/>
    <n v="56.56"/>
    <n v="4"/>
    <n v="0"/>
    <n v="14.705600000000004"/>
  </r>
  <r>
    <n v="424"/>
    <s v="CA-2019-125388"/>
    <d v="2019-10-19T00:00:00"/>
    <s v="Standard Class"/>
    <s v="Michael Paige"/>
    <s v="Lawrence"/>
    <s v="Massachusetts"/>
    <s v="East"/>
    <s v="Office Supplies"/>
    <s v="Storage"/>
    <s v="Crate-A-Files"/>
    <n v="32.700000000000003"/>
    <n v="3"/>
    <n v="0"/>
    <n v="8.5019999999999989"/>
  </r>
  <r>
    <n v="425"/>
    <s v="CA-2019-155705"/>
    <d v="2019-08-21T00:00:00"/>
    <s v="Second Class"/>
    <s v="Natalie Fritzler"/>
    <s v="Jackson"/>
    <s v="Mississippi"/>
    <s v="South"/>
    <s v="Furniture"/>
    <s v="Chairs"/>
    <s v="Hon Multipurpose Stacking Arm Chairs"/>
    <n v="866.4"/>
    <n v="4"/>
    <n v="0"/>
    <n v="225.26400000000001"/>
  </r>
  <r>
    <n v="426"/>
    <s v="CA-2019-149160"/>
    <d v="2019-11-23T00:00:00"/>
    <s v="Second Class"/>
    <s v="Janet Molinari"/>
    <s v="Canton"/>
    <s v="Michigan"/>
    <s v="Central"/>
    <s v="Furniture"/>
    <s v="Furnishings"/>
    <s v="Coloredge Poster Frame"/>
    <n v="28.4"/>
    <n v="2"/>
    <n v="0"/>
    <n v="11.076000000000001"/>
  </r>
  <r>
    <n v="427"/>
    <s v="CA-2019-149160"/>
    <d v="2019-11-23T00:00:00"/>
    <s v="Second Class"/>
    <s v="Janet Molinari"/>
    <s v="Canton"/>
    <s v="Michigan"/>
    <s v="Central"/>
    <s v="Office Supplies"/>
    <s v="Binders"/>
    <s v="GBC VeloBinder Manual Binding System"/>
    <n v="287.92"/>
    <n v="8"/>
    <n v="0"/>
    <n v="138.20160000000001"/>
  </r>
  <r>
    <n v="428"/>
    <s v="CA-2016-101476"/>
    <d v="2016-09-12T00:00:00"/>
    <s v="First Class"/>
    <s v="Shirley Daniels"/>
    <s v="New Rochelle"/>
    <s v="New York"/>
    <s v="East"/>
    <s v="Technology"/>
    <s v="Machines"/>
    <s v="Epson WorkForce WF-2530 All-in-One Printer, Copier Scanner"/>
    <n v="69.989999999999995"/>
    <n v="1"/>
    <n v="0"/>
    <n v="30.095700000000001"/>
  </r>
  <r>
    <n v="429"/>
    <s v="CA-2019-152275"/>
    <d v="2019-10-01T00:00:00"/>
    <s v="Standard Class"/>
    <s v="Ken Heidel"/>
    <s v="San Antonio"/>
    <s v="Texas"/>
    <s v="Central"/>
    <s v="Office Supplies"/>
    <s v="Art"/>
    <s v="Design Ebony Sketching Pencil"/>
    <n v="6.6719999999999988"/>
    <n v="6"/>
    <n v="0.2"/>
    <n v="0.50039999999999996"/>
  </r>
  <r>
    <n v="430"/>
    <s v="US-2018-123750"/>
    <d v="2018-04-15T00:00:00"/>
    <s v="Standard Class"/>
    <s v="Ross Baird"/>
    <s v="Gastonia"/>
    <s v="North Carolina"/>
    <s v="South"/>
    <s v="Office Supplies"/>
    <s v="Binders"/>
    <s v="GBC ProClick 150 Presentation Binding System"/>
    <n v="189.58800000000005"/>
    <n v="2"/>
    <n v="0.7"/>
    <n v="-145.35079999999999"/>
  </r>
  <r>
    <n v="431"/>
    <s v="US-2018-123750"/>
    <d v="2018-04-15T00:00:00"/>
    <s v="Standard Class"/>
    <s v="Ross Baird"/>
    <s v="Gastonia"/>
    <s v="North Carolina"/>
    <s v="South"/>
    <s v="Technology"/>
    <s v="Accessories"/>
    <s v="Imation Secure+ Hardware Encrypted USB 2.0 Flash Drive; 16GB"/>
    <n v="408.74399999999997"/>
    <n v="7"/>
    <n v="0.2"/>
    <n v="76.639499999999984"/>
  </r>
  <r>
    <n v="432"/>
    <s v="US-2018-123750"/>
    <d v="2018-04-15T00:00:00"/>
    <s v="Standard Class"/>
    <s v="Ross Baird"/>
    <s v="Gastonia"/>
    <s v="North Carolina"/>
    <s v="South"/>
    <s v="Technology"/>
    <s v="Accessories"/>
    <s v="Imation Secure+ Hardware Encrypted USB 2.0 Flash Drive; 16GB"/>
    <n v="291.95999999999998"/>
    <n v="5"/>
    <n v="0.2"/>
    <n v="54.742499999999978"/>
  </r>
  <r>
    <n v="433"/>
    <s v="US-2018-123750"/>
    <d v="2018-04-15T00:00:00"/>
    <s v="Standard Class"/>
    <s v="Ross Baird"/>
    <s v="Gastonia"/>
    <s v="North Carolina"/>
    <s v="South"/>
    <s v="Office Supplies"/>
    <s v="Storage"/>
    <s v="Woodgrain Magazine Files by Perma"/>
    <n v="4.7679999999999998"/>
    <n v="2"/>
    <n v="0.2"/>
    <n v="-0.7748000000000006"/>
  </r>
  <r>
    <n v="434"/>
    <s v="CA-2018-127369"/>
    <d v="2018-06-06T00:00:00"/>
    <s v="First Class"/>
    <s v="Dave Brooks"/>
    <s v="Lowell"/>
    <s v="Massachusetts"/>
    <s v="East"/>
    <s v="Office Supplies"/>
    <s v="Storage"/>
    <s v="Letter Size Cart"/>
    <n v="714.30000000000007"/>
    <n v="5"/>
    <n v="0"/>
    <n v="207.14699999999993"/>
  </r>
  <r>
    <n v="435"/>
    <s v="US-2016-150574"/>
    <d v="2016-12-19T00:00:00"/>
    <s v="Standard Class"/>
    <s v="Mike Kennedy"/>
    <s v="Jacksonville"/>
    <s v="Florida"/>
    <s v="South"/>
    <s v="Office Supplies"/>
    <s v="Binders"/>
    <s v="Insertable Tab Post Binder Dividers"/>
    <n v="4.8120000000000003"/>
    <n v="2"/>
    <n v="0.7"/>
    <n v="-3.6891999999999996"/>
  </r>
  <r>
    <n v="436"/>
    <s v="US-2016-150574"/>
    <d v="2016-12-19T00:00:00"/>
    <s v="Standard Class"/>
    <s v="Mike Kennedy"/>
    <s v="Jacksonville"/>
    <s v="Florida"/>
    <s v="South"/>
    <s v="Technology"/>
    <s v="Accessories"/>
    <s v="Belkin QODE FastFit Bluetooth Keyboard"/>
    <n v="247.8"/>
    <n v="5"/>
    <n v="0.2"/>
    <n v="-18.584999999999994"/>
  </r>
  <r>
    <n v="437"/>
    <s v="CA-2018-147375"/>
    <d v="2018-06-12T00:00:00"/>
    <s v="Second Class"/>
    <s v="Philisse Overcash"/>
    <s v="Chicago"/>
    <s v="Illinois"/>
    <s v="Central"/>
    <s v="Technology"/>
    <s v="Machines"/>
    <s v="Canon Color ImageCLASS MF8580Cdw Wireless Laser All-In-One Printer, Copier, Scanner"/>
    <n v="1007.979"/>
    <n v="3"/>
    <n v="0.3"/>
    <n v="43.199100000000044"/>
  </r>
  <r>
    <n v="438"/>
    <s v="CA-2018-147375"/>
    <d v="2018-06-12T00:00:00"/>
    <s v="Second Class"/>
    <s v="Philisse Overcash"/>
    <s v="Chicago"/>
    <s v="Illinois"/>
    <s v="Central"/>
    <s v="Office Supplies"/>
    <s v="Paper"/>
    <s v="Xerox 1908"/>
    <n v="313.488"/>
    <n v="7"/>
    <n v="0.2"/>
    <n v="113.63939999999998"/>
  </r>
  <r>
    <n v="439"/>
    <s v="CA-2019-130043"/>
    <d v="2019-09-15T00:00:00"/>
    <s v="Standard Class"/>
    <s v="Brenda Bowman"/>
    <s v="Houston"/>
    <s v="Texas"/>
    <s v="Central"/>
    <s v="Office Supplies"/>
    <s v="Paper"/>
    <s v="Xerox 1897"/>
    <n v="31.872000000000003"/>
    <n v="8"/>
    <n v="0.2"/>
    <n v="11.553600000000003"/>
  </r>
  <r>
    <n v="440"/>
    <s v="CA-2019-157252"/>
    <d v="2019-01-20T00:00:00"/>
    <s v="Second Class"/>
    <s v="Cynthia Voltz"/>
    <s v="New York City"/>
    <s v="New York"/>
    <s v="East"/>
    <s v="Furniture"/>
    <s v="Chairs"/>
    <s v="Global Deluxe Steno Chair"/>
    <n v="207.84600000000003"/>
    <n v="3"/>
    <n v="0.1"/>
    <n v="2.3093999999999895"/>
  </r>
  <r>
    <n v="441"/>
    <s v="CA-2018-115756"/>
    <d v="2018-09-05T00:00:00"/>
    <s v="Second Class"/>
    <s v="Pete Kriz"/>
    <s v="Detroit"/>
    <s v="Michigan"/>
    <s v="Central"/>
    <s v="Furniture"/>
    <s v="Furnishings"/>
    <s v="Aluminum Document Frame"/>
    <n v="12.22"/>
    <n v="1"/>
    <n v="0"/>
    <n v="3.6659999999999986"/>
  </r>
  <r>
    <n v="442"/>
    <s v="CA-2018-115756"/>
    <d v="2018-09-05T00:00:00"/>
    <s v="Second Class"/>
    <s v="Pete Kriz"/>
    <s v="Detroit"/>
    <s v="Michigan"/>
    <s v="Central"/>
    <s v="Office Supplies"/>
    <s v="Storage"/>
    <s v="Fellowes Bankers Box Staxonsteel Drawer File/Stacking System"/>
    <n v="194.94"/>
    <n v="3"/>
    <n v="0"/>
    <n v="23.392800000000008"/>
  </r>
  <r>
    <n v="443"/>
    <s v="CA-2018-115756"/>
    <d v="2018-09-05T00:00:00"/>
    <s v="Second Class"/>
    <s v="Pete Kriz"/>
    <s v="Detroit"/>
    <s v="Michigan"/>
    <s v="Central"/>
    <s v="Office Supplies"/>
    <s v="Storage"/>
    <s v="Eldon Mobile Mega Data Cart  Mega Stackable  Add-On Trays"/>
    <n v="70.949999999999989"/>
    <n v="3"/>
    <n v="0"/>
    <n v="20.575499999999998"/>
  </r>
  <r>
    <n v="444"/>
    <s v="CA-2018-115756"/>
    <d v="2018-09-05T00:00:00"/>
    <s v="Second Class"/>
    <s v="Pete Kriz"/>
    <s v="Detroit"/>
    <s v="Michigan"/>
    <s v="Central"/>
    <s v="Office Supplies"/>
    <s v="Paper"/>
    <s v="Xerox Color Copier Paper, 11&quot; x 17&quot;, Ream"/>
    <n v="91.36"/>
    <n v="4"/>
    <n v="0"/>
    <n v="42.025599999999997"/>
  </r>
  <r>
    <n v="445"/>
    <s v="CA-2018-115756"/>
    <d v="2018-09-05T00:00:00"/>
    <s v="Second Class"/>
    <s v="Pete Kriz"/>
    <s v="Detroit"/>
    <s v="Michigan"/>
    <s v="Central"/>
    <s v="Furniture"/>
    <s v="Chairs"/>
    <s v="Office Star - Ergonomically Designed Knee Chair"/>
    <n v="242.94"/>
    <n v="3"/>
    <n v="0"/>
    <n v="29.152800000000013"/>
  </r>
  <r>
    <n v="446"/>
    <s v="CA-2018-115756"/>
    <d v="2018-09-05T00:00:00"/>
    <s v="Second Class"/>
    <s v="Pete Kriz"/>
    <s v="Detroit"/>
    <s v="Michigan"/>
    <s v="Central"/>
    <s v="Office Supplies"/>
    <s v="Labels"/>
    <s v="Avery 520"/>
    <n v="22.05"/>
    <n v="7"/>
    <n v="0"/>
    <n v="10.584"/>
  </r>
  <r>
    <n v="447"/>
    <s v="CA-2019-154214"/>
    <d v="2019-03-20T00:00:00"/>
    <s v="Second Class"/>
    <s v="Troy Blackwell"/>
    <s v="Columbus"/>
    <s v="Indiana"/>
    <s v="Central"/>
    <s v="Furniture"/>
    <s v="Furnishings"/>
    <s v="GE General Purpose, Extra Long Life, Showcase &amp; Floodlight Incandescent Bulbs"/>
    <n v="2.91"/>
    <n v="1"/>
    <n v="0"/>
    <n v="1.3676999999999999"/>
  </r>
  <r>
    <n v="448"/>
    <s v="CA-2018-166674"/>
    <d v="2018-04-01T00:00:00"/>
    <s v="Second Class"/>
    <s v="Raymond Buch"/>
    <s v="Auburn"/>
    <s v="New York"/>
    <s v="East"/>
    <s v="Office Supplies"/>
    <s v="Art"/>
    <s v="Newell 345"/>
    <n v="59.519999999999996"/>
    <n v="3"/>
    <n v="0"/>
    <n v="15.475200000000001"/>
  </r>
  <r>
    <n v="449"/>
    <s v="CA-2018-166674"/>
    <d v="2018-04-01T00:00:00"/>
    <s v="Second Class"/>
    <s v="Raymond Buch"/>
    <s v="Auburn"/>
    <s v="New York"/>
    <s v="East"/>
    <s v="Office Supplies"/>
    <s v="Storage"/>
    <s v="Fellowes Bankers Box Recycled Super Stor/Drawer"/>
    <n v="161.94"/>
    <n v="3"/>
    <n v="0"/>
    <n v="9.716399999999993"/>
  </r>
  <r>
    <n v="450"/>
    <s v="CA-2018-166674"/>
    <d v="2018-04-01T00:00:00"/>
    <s v="Second Class"/>
    <s v="Raymond Buch"/>
    <s v="Auburn"/>
    <s v="New York"/>
    <s v="East"/>
    <s v="Office Supplies"/>
    <s v="Art"/>
    <s v="Boston 1645 Deluxe Heavier-Duty Electric Pencil Sharpener"/>
    <n v="263.88"/>
    <n v="6"/>
    <n v="0"/>
    <n v="71.247600000000006"/>
  </r>
  <r>
    <n v="451"/>
    <s v="CA-2018-166674"/>
    <d v="2018-04-01T00:00:00"/>
    <s v="Second Class"/>
    <s v="Raymond Buch"/>
    <s v="Auburn"/>
    <s v="New York"/>
    <s v="East"/>
    <s v="Office Supplies"/>
    <s v="Art"/>
    <s v="50 Colored Long Pencils"/>
    <n v="30.48"/>
    <n v="3"/>
    <n v="0"/>
    <n v="7.9248000000000012"/>
  </r>
  <r>
    <n v="452"/>
    <s v="CA-2018-166674"/>
    <d v="2018-04-01T00:00:00"/>
    <s v="Second Class"/>
    <s v="Raymond Buch"/>
    <s v="Auburn"/>
    <s v="New York"/>
    <s v="East"/>
    <s v="Office Supplies"/>
    <s v="Art"/>
    <s v="Newell 342"/>
    <n v="9.84"/>
    <n v="3"/>
    <n v="0"/>
    <n v="2.8535999999999988"/>
  </r>
  <r>
    <n v="453"/>
    <s v="CA-2018-166674"/>
    <d v="2018-04-01T00:00:00"/>
    <s v="Second Class"/>
    <s v="Raymond Buch"/>
    <s v="Auburn"/>
    <s v="New York"/>
    <s v="East"/>
    <s v="Technology"/>
    <s v="Phones"/>
    <s v="Belkin Grip Candy Sheer Case / Cover for iPhone 5 and 5S"/>
    <n v="35.119999999999997"/>
    <n v="4"/>
    <n v="0"/>
    <n v="9.1311999999999998"/>
  </r>
  <r>
    <n v="454"/>
    <s v="CA-2019-147277"/>
    <d v="2019-10-20T00:00:00"/>
    <s v="Standard Class"/>
    <s v="Ed Braxton"/>
    <s v="Akron"/>
    <s v="Ohio"/>
    <s v="East"/>
    <s v="Furniture"/>
    <s v="Tables"/>
    <s v="Chromcraft Rectangular Conference Tables"/>
    <n v="284.36399999999998"/>
    <n v="2"/>
    <n v="0.4"/>
    <n v="-75.830400000000054"/>
  </r>
  <r>
    <n v="455"/>
    <s v="CA-2019-147277"/>
    <d v="2019-10-20T00:00:00"/>
    <s v="Standard Class"/>
    <s v="Ed Braxton"/>
    <s v="Akron"/>
    <s v="Ohio"/>
    <s v="East"/>
    <s v="Office Supplies"/>
    <s v="Storage"/>
    <s v="Deluxe Rollaway Locking File with Drawer"/>
    <n v="665.40800000000002"/>
    <n v="2"/>
    <n v="0.2"/>
    <n v="66.540799999999962"/>
  </r>
  <r>
    <n v="456"/>
    <s v="CA-2018-100153"/>
    <d v="2018-12-13T00:00:00"/>
    <s v="Standard Class"/>
    <s v="Ken Heidel"/>
    <s v="Norman"/>
    <s v="Oklahoma"/>
    <s v="Central"/>
    <s v="Technology"/>
    <s v="Accessories"/>
    <s v="Memorex Mini Travel Drive 16 GB USB 2.0 Flash Drive"/>
    <n v="63.88"/>
    <n v="4"/>
    <n v="0"/>
    <n v="24.913200000000003"/>
  </r>
  <r>
    <n v="457"/>
    <s v="US-2016-110674"/>
    <d v="2016-02-12T00:00:00"/>
    <s v="Standard Class"/>
    <s v="Sanjit Chand"/>
    <s v="Concord"/>
    <s v="California"/>
    <s v="West"/>
    <s v="Furniture"/>
    <s v="Chairs"/>
    <s v="Global Geo Office Task Chair, Gray"/>
    <n v="129.56800000000001"/>
    <n v="2"/>
    <n v="0.2"/>
    <n v="-24.294000000000018"/>
  </r>
  <r>
    <n v="458"/>
    <s v="US-2018-157945"/>
    <d v="2018-09-26T00:00:00"/>
    <s v="Standard Class"/>
    <s v="Natalie Fritzler"/>
    <s v="Decatur"/>
    <s v="Illinois"/>
    <s v="Central"/>
    <s v="Furniture"/>
    <s v="Chairs"/>
    <s v="Hon 4700 Series Mobuis Mid-Back Task Chairs with Adjustable Arms"/>
    <n v="747.55799999999999"/>
    <n v="3"/>
    <n v="0.3"/>
    <n v="-96.11460000000011"/>
  </r>
  <r>
    <n v="459"/>
    <s v="US-2018-157945"/>
    <d v="2018-09-26T00:00:00"/>
    <s v="Standard Class"/>
    <s v="Natalie Fritzler"/>
    <s v="Decatur"/>
    <s v="Illinois"/>
    <s v="Central"/>
    <s v="Office Supplies"/>
    <s v="Envelopes"/>
    <s v="Staple envelope"/>
    <n v="8.9280000000000008"/>
    <n v="2"/>
    <n v="0.2"/>
    <n v="3.3479999999999999"/>
  </r>
  <r>
    <n v="460"/>
    <s v="CA-2017-109638"/>
    <d v="2017-12-15T00:00:00"/>
    <s v="Standard Class"/>
    <s v="Joseph Holt"/>
    <s v="Seattle"/>
    <s v="Washington"/>
    <s v="West"/>
    <s v="Office Supplies"/>
    <s v="Appliances"/>
    <s v="3M Office Air Cleaner"/>
    <n v="103.92"/>
    <n v="4"/>
    <n v="0"/>
    <n v="36.372"/>
  </r>
  <r>
    <n v="461"/>
    <s v="CA-2017-109638"/>
    <d v="2017-12-15T00:00:00"/>
    <s v="Standard Class"/>
    <s v="Joseph Holt"/>
    <s v="Seattle"/>
    <s v="Washington"/>
    <s v="West"/>
    <s v="Technology"/>
    <s v="Accessories"/>
    <s v="Logitech G700s Rechargeable Gaming Mouse"/>
    <n v="899.91"/>
    <n v="9"/>
    <n v="0"/>
    <n v="377.96220000000005"/>
  </r>
  <r>
    <n v="462"/>
    <s v="CA-2017-109638"/>
    <d v="2017-12-15T00:00:00"/>
    <s v="Standard Class"/>
    <s v="Joseph Holt"/>
    <s v="Seattle"/>
    <s v="Washington"/>
    <s v="West"/>
    <s v="Office Supplies"/>
    <s v="Binders"/>
    <s v="Acco D-Ring Binder w/DublLock"/>
    <n v="51.311999999999998"/>
    <n v="3"/>
    <n v="0.2"/>
    <n v="18.600599999999996"/>
  </r>
  <r>
    <n v="463"/>
    <s v="CA-2018-109869"/>
    <d v="2018-04-22T00:00:00"/>
    <s v="Standard Class"/>
    <s v="Tanja Norvell"/>
    <s v="Phoenix"/>
    <s v="Arizona"/>
    <s v="West"/>
    <s v="Furniture"/>
    <s v="Furnishings"/>
    <s v="Eldon Wave Desk Accessories"/>
    <n v="23.56"/>
    <n v="5"/>
    <n v="0.2"/>
    <n v="7.0680000000000005"/>
  </r>
  <r>
    <n v="464"/>
    <s v="CA-2018-109869"/>
    <d v="2018-04-22T00:00:00"/>
    <s v="Standard Class"/>
    <s v="Tanja Norvell"/>
    <s v="Phoenix"/>
    <s v="Arizona"/>
    <s v="West"/>
    <s v="Furniture"/>
    <s v="Tables"/>
    <s v="Bush Advantage Collection Racetrack Conference Table"/>
    <n v="1272.6299999999999"/>
    <n v="6"/>
    <n v="0.5"/>
    <n v="-814.4831999999999"/>
  </r>
  <r>
    <n v="465"/>
    <s v="CA-2018-109869"/>
    <d v="2018-04-22T00:00:00"/>
    <s v="Standard Class"/>
    <s v="Tanja Norvell"/>
    <s v="Phoenix"/>
    <s v="Arizona"/>
    <s v="West"/>
    <s v="Office Supplies"/>
    <s v="Binders"/>
    <s v="Poly Designer Cover &amp; Back"/>
    <n v="28.484999999999999"/>
    <n v="5"/>
    <n v="0.7"/>
    <n v="-20.888999999999989"/>
  </r>
  <r>
    <n v="466"/>
    <s v="CA-2018-109869"/>
    <d v="2018-04-22T00:00:00"/>
    <s v="Standard Class"/>
    <s v="Tanja Norvell"/>
    <s v="Phoenix"/>
    <s v="Arizona"/>
    <s v="West"/>
    <s v="Office Supplies"/>
    <s v="Supplies"/>
    <s v="Premier Electric Letter Opener"/>
    <n v="185.376"/>
    <n v="2"/>
    <n v="0.2"/>
    <n v="-34.758000000000017"/>
  </r>
  <r>
    <n v="467"/>
    <s v="CA-2018-109869"/>
    <d v="2018-04-22T00:00:00"/>
    <s v="Standard Class"/>
    <s v="Tanja Norvell"/>
    <s v="Phoenix"/>
    <s v="Arizona"/>
    <s v="West"/>
    <s v="Office Supplies"/>
    <s v="Appliances"/>
    <s v="Fellowes Premier Superior Surge Suppressor, 10-Outlet, With Phone and Remote"/>
    <n v="78.272000000000006"/>
    <n v="2"/>
    <n v="0.2"/>
    <n v="5.8704000000000001"/>
  </r>
  <r>
    <n v="468"/>
    <s v="US-2017-101399"/>
    <d v="2017-01-17T00:00:00"/>
    <s v="Standard Class"/>
    <s v="Joni Sundaresam"/>
    <s v="Park Ridge"/>
    <s v="Illinois"/>
    <s v="Central"/>
    <s v="Furniture"/>
    <s v="Furnishings"/>
    <s v="Eldon ClusterMat Chair Mat with Cordless Antistatic Protection"/>
    <n v="254.74400000000003"/>
    <n v="7"/>
    <n v="0.6"/>
    <n v="-312.06139999999994"/>
  </r>
  <r>
    <n v="469"/>
    <s v="CA-2019-154907"/>
    <d v="2019-03-31T00:00:00"/>
    <s v="Standard Class"/>
    <s v="David Smith"/>
    <s v="Amarillo"/>
    <s v="Texas"/>
    <s v="Central"/>
    <s v="Furniture"/>
    <s v="Bookcases"/>
    <s v="Bush Mission Pointe Library"/>
    <n v="205.33279999999996"/>
    <n v="2"/>
    <n v="0.32"/>
    <n v="-36.235200000000006"/>
  </r>
  <r>
    <n v="470"/>
    <s v="US-2018-100419"/>
    <d v="2018-12-16T00:00:00"/>
    <s v="Second Class"/>
    <s v="Craig Carreira"/>
    <s v="Chicago"/>
    <s v="Illinois"/>
    <s v="Central"/>
    <s v="Office Supplies"/>
    <s v="Binders"/>
    <s v="Cardinal Hold-It CD Pocket"/>
    <n v="4.7879999999999985"/>
    <n v="3"/>
    <n v="0.8"/>
    <n v="-7.9001999999999999"/>
  </r>
  <r>
    <n v="471"/>
    <s v="CA-2017-154144"/>
    <d v="2017-12-20T00:00:00"/>
    <s v="Standard Class"/>
    <s v="Maya Herman"/>
    <s v="Lindenhurst"/>
    <s v="New York"/>
    <s v="East"/>
    <s v="Office Supplies"/>
    <s v="Paper"/>
    <s v="Eaton Premium Continuous-Feed Paper, 25% Cotton, Letter Size, White, 1000 Shts/Box"/>
    <n v="55.48"/>
    <n v="1"/>
    <n v="0"/>
    <n v="26.630399999999998"/>
  </r>
  <r>
    <n v="472"/>
    <s v="CA-2016-144666"/>
    <d v="2016-11-09T00:00:00"/>
    <s v="Second Class"/>
    <s v="Jeremy Pistek"/>
    <s v="San Francisco"/>
    <s v="California"/>
    <s v="West"/>
    <s v="Office Supplies"/>
    <s v="Storage"/>
    <s v="SAFCO Boltless Steel Shelving"/>
    <n v="340.92"/>
    <n v="3"/>
    <n v="0"/>
    <n v="3.4091999999999842"/>
  </r>
  <r>
    <n v="473"/>
    <s v="CA-2016-144666"/>
    <d v="2016-11-09T00:00:00"/>
    <s v="Second Class"/>
    <s v="Jeremy Pistek"/>
    <s v="San Francisco"/>
    <s v="California"/>
    <s v="West"/>
    <s v="Furniture"/>
    <s v="Bookcases"/>
    <s v="Sauder Mission Library with Doors, Fruitwood Finish"/>
    <n v="222.66599999999997"/>
    <n v="2"/>
    <n v="0.15"/>
    <n v="10.478399999999979"/>
  </r>
  <r>
    <n v="474"/>
    <s v="CA-2016-144666"/>
    <d v="2016-11-09T00:00:00"/>
    <s v="Second Class"/>
    <s v="Jeremy Pistek"/>
    <s v="San Francisco"/>
    <s v="California"/>
    <s v="West"/>
    <s v="Technology"/>
    <s v="Phones"/>
    <s v="Samsung Galaxy Note 3"/>
    <n v="703.96800000000007"/>
    <n v="4"/>
    <n v="0.2"/>
    <n v="87.995999999999924"/>
  </r>
  <r>
    <n v="475"/>
    <s v="CA-2016-144666"/>
    <d v="2016-11-09T00:00:00"/>
    <s v="Second Class"/>
    <s v="Jeremy Pistek"/>
    <s v="San Francisco"/>
    <s v="California"/>
    <s v="West"/>
    <s v="Office Supplies"/>
    <s v="Storage"/>
    <s v="Decoflex Hanging Personal Folder File, Blue"/>
    <n v="92.52"/>
    <n v="6"/>
    <n v="0"/>
    <n v="24.980400000000007"/>
  </r>
  <r>
    <n v="476"/>
    <s v="CA-2016-144666"/>
    <d v="2016-11-09T00:00:00"/>
    <s v="Second Class"/>
    <s v="Jeremy Pistek"/>
    <s v="San Francisco"/>
    <s v="California"/>
    <s v="West"/>
    <s v="Office Supplies"/>
    <s v="Paper"/>
    <s v="Recycled Desk Saver Line &quot;While You Were Out&quot; Book, 5 1/2&quot; X 4&quot;"/>
    <n v="62.649999999999991"/>
    <n v="7"/>
    <n v="0"/>
    <n v="28.818999999999996"/>
  </r>
  <r>
    <n v="477"/>
    <s v="CA-2016-144666"/>
    <d v="2016-11-09T00:00:00"/>
    <s v="Second Class"/>
    <s v="Jeremy Pistek"/>
    <s v="San Francisco"/>
    <s v="California"/>
    <s v="West"/>
    <s v="Office Supplies"/>
    <s v="Paper"/>
    <s v="Xerox 1912"/>
    <n v="94.85"/>
    <n v="5"/>
    <n v="0"/>
    <n v="45.527999999999992"/>
  </r>
  <r>
    <n v="478"/>
    <s v="CA-2018-103891"/>
    <d v="2018-07-12T00:00:00"/>
    <s v="Standard Class"/>
    <s v="Kristen Hastings"/>
    <s v="Los Angeles"/>
    <s v="California"/>
    <s v="West"/>
    <s v="Technology"/>
    <s v="Phones"/>
    <s v="Cisco SPA525G2 IP Phone - Wireless"/>
    <n v="95.76"/>
    <n v="6"/>
    <n v="0.2"/>
    <n v="7.1819999999999951"/>
  </r>
  <r>
    <n v="479"/>
    <s v="CA-2018-152632"/>
    <d v="2018-10-27T00:00:00"/>
    <s v="Standard Class"/>
    <s v="Jeremy Ellison"/>
    <s v="Troy"/>
    <s v="New York"/>
    <s v="East"/>
    <s v="Furniture"/>
    <s v="Furnishings"/>
    <s v="Electrix 20W Halogen Replacement Bulb for Zoom-In Desk Lamp"/>
    <n v="40.200000000000003"/>
    <n v="3"/>
    <n v="0"/>
    <n v="19.295999999999999"/>
  </r>
  <r>
    <n v="480"/>
    <s v="CA-2018-100790"/>
    <d v="2018-06-26T00:00:00"/>
    <s v="Standard Class"/>
    <s v="John Grady"/>
    <s v="New York City"/>
    <s v="New York"/>
    <s v="East"/>
    <s v="Office Supplies"/>
    <s v="Art"/>
    <s v="Prang Colored Pencils"/>
    <n v="14.7"/>
    <n v="5"/>
    <n v="0"/>
    <n v="6.6150000000000002"/>
  </r>
  <r>
    <n v="481"/>
    <s v="CA-2018-100790"/>
    <d v="2018-06-26T00:00:00"/>
    <s v="Standard Class"/>
    <s v="John Grady"/>
    <s v="New York City"/>
    <s v="New York"/>
    <s v="East"/>
    <s v="Office Supplies"/>
    <s v="Storage"/>
    <s v="Fellowes Strictly Business Drawer File, Letter/Legal Size"/>
    <n v="704.25"/>
    <n v="5"/>
    <n v="0"/>
    <n v="84.51"/>
  </r>
  <r>
    <n v="482"/>
    <s v="CA-2016-134677"/>
    <d v="2016-10-06T00:00:00"/>
    <s v="Standard Class"/>
    <s v="Xylona Preis"/>
    <s v="San Diego"/>
    <s v="California"/>
    <s v="West"/>
    <s v="Technology"/>
    <s v="Accessories"/>
    <s v="Imation USB 2.0 Swivel Flash Drive USB flash drive - 4 GB - Pink"/>
    <n v="9.09"/>
    <n v="3"/>
    <n v="0"/>
    <n v="1.9088999999999996"/>
  </r>
  <r>
    <n v="483"/>
    <s v="CA-2016-127691"/>
    <d v="2016-07-22T00:00:00"/>
    <s v="Standard Class"/>
    <s v="Erin Mull"/>
    <s v="New York City"/>
    <s v="New York"/>
    <s v="East"/>
    <s v="Office Supplies"/>
    <s v="Art"/>
    <s v="Premium Writing Pencils, Soft, #2 by Central Association for the Blind"/>
    <n v="5.96"/>
    <n v="2"/>
    <n v="0"/>
    <n v="1.6688000000000001"/>
  </r>
  <r>
    <n v="484"/>
    <s v="CA-2016-127691"/>
    <d v="2016-07-22T00:00:00"/>
    <s v="Standard Class"/>
    <s v="Erin Mull"/>
    <s v="New York City"/>
    <s v="New York"/>
    <s v="East"/>
    <s v="Technology"/>
    <s v="Accessories"/>
    <s v="Logitech G602 Wireless Gaming Mouse"/>
    <n v="159.97999999999999"/>
    <n v="2"/>
    <n v="0"/>
    <n v="57.592799999999997"/>
  </r>
  <r>
    <n v="485"/>
    <s v="CA-2019-140963"/>
    <d v="2019-06-10T00:00:00"/>
    <s v="First Class"/>
    <s v="Michelle Tran"/>
    <s v="Los Angeles"/>
    <s v="California"/>
    <s v="West"/>
    <s v="Office Supplies"/>
    <s v="Labels"/>
    <s v="Alphabetical Labels for Top Tab Filing"/>
    <n v="29.6"/>
    <n v="2"/>
    <n v="0"/>
    <n v="14.8"/>
  </r>
  <r>
    <n v="486"/>
    <s v="CA-2019-140963"/>
    <d v="2019-06-10T00:00:00"/>
    <s v="First Class"/>
    <s v="Michelle Tran"/>
    <s v="Los Angeles"/>
    <s v="California"/>
    <s v="West"/>
    <s v="Furniture"/>
    <s v="Bookcases"/>
    <s v="O'Sullivan Living Dimensions 2-Shelf Bookcases"/>
    <n v="514.16499999999996"/>
    <n v="5"/>
    <n v="0.15"/>
    <n v="-30.24499999999999"/>
  </r>
  <r>
    <n v="487"/>
    <s v="CA-2019-140963"/>
    <d v="2019-06-10T00:00:00"/>
    <s v="First Class"/>
    <s v="Michelle Tran"/>
    <s v="Los Angeles"/>
    <s v="California"/>
    <s v="West"/>
    <s v="Technology"/>
    <s v="Phones"/>
    <s v="iHome FM Clock Radio with Lightning Dock"/>
    <n v="279.95999999999998"/>
    <n v="5"/>
    <n v="0.2"/>
    <n v="17.497500000000016"/>
  </r>
  <r>
    <n v="488"/>
    <s v="CA-2016-154627"/>
    <d v="2016-10-29T00:00:00"/>
    <s v="First Class"/>
    <s v="Sue Ann Reed"/>
    <s v="Chicago"/>
    <s v="Illinois"/>
    <s v="Central"/>
    <s v="Technology"/>
    <s v="Phones"/>
    <s v="Apple iPhone 5S"/>
    <n v="2735.9520000000002"/>
    <n v="6"/>
    <n v="0.2"/>
    <n v="341.99399999999969"/>
  </r>
  <r>
    <n v="489"/>
    <s v="CA-2016-133753"/>
    <d v="2016-06-09T00:00:00"/>
    <s v="Second Class"/>
    <s v="Carl Weiss"/>
    <s v="Huntsville"/>
    <s v="Texas"/>
    <s v="Central"/>
    <s v="Technology"/>
    <s v="Phones"/>
    <s v="Square Credit Card Reader"/>
    <n v="7.9920000000000009"/>
    <n v="1"/>
    <n v="0.2"/>
    <n v="0.59940000000000015"/>
  </r>
  <r>
    <n v="490"/>
    <s v="CA-2016-133753"/>
    <d v="2016-06-09T00:00:00"/>
    <s v="Second Class"/>
    <s v="Carl Weiss"/>
    <s v="Huntsville"/>
    <s v="Texas"/>
    <s v="Central"/>
    <s v="Technology"/>
    <s v="Accessories"/>
    <s v="Logitech M510 Wireless Mouse"/>
    <n v="63.984000000000009"/>
    <n v="2"/>
    <n v="0.2"/>
    <n v="10.397399999999998"/>
  </r>
  <r>
    <n v="491"/>
    <s v="CA-2016-133753"/>
    <d v="2016-06-09T00:00:00"/>
    <s v="Second Class"/>
    <s v="Carl Weiss"/>
    <s v="Huntsville"/>
    <s v="Texas"/>
    <s v="Central"/>
    <s v="Office Supplies"/>
    <s v="Art"/>
    <s v="Boston 1645 Deluxe Heavier-Duty Electric Pencil Sharpener"/>
    <n v="70.367999999999995"/>
    <n v="2"/>
    <n v="0.2"/>
    <n v="6.1572000000000031"/>
  </r>
  <r>
    <n v="492"/>
    <s v="CA-2016-113362"/>
    <d v="2016-09-14T00:00:00"/>
    <s v="Standard Class"/>
    <s v="Astrea Jones"/>
    <s v="Rochester"/>
    <s v="New York"/>
    <s v="East"/>
    <s v="Office Supplies"/>
    <s v="Storage"/>
    <s v="Fellowes Officeware Wire Shelving"/>
    <n v="449.15"/>
    <n v="5"/>
    <n v="0"/>
    <n v="8.9829999999999899"/>
  </r>
  <r>
    <n v="493"/>
    <s v="CA-2016-113362"/>
    <d v="2016-09-14T00:00:00"/>
    <s v="Standard Class"/>
    <s v="Astrea Jones"/>
    <s v="Rochester"/>
    <s v="New York"/>
    <s v="East"/>
    <s v="Office Supplies"/>
    <s v="Envelopes"/>
    <s v="Colored Envelopes"/>
    <n v="11.07"/>
    <n v="3"/>
    <n v="0"/>
    <n v="5.0921999999999992"/>
  </r>
  <r>
    <n v="494"/>
    <s v="CA-2018-169166"/>
    <d v="2018-05-09T00:00:00"/>
    <s v="Standard Class"/>
    <s v="Sonia Sunley"/>
    <s v="Seattle"/>
    <s v="Washington"/>
    <s v="West"/>
    <s v="Technology"/>
    <s v="Accessories"/>
    <s v="Sony Micro Vault Click 8 GB USB 2.0 Flash Drive"/>
    <n v="93.98"/>
    <n v="2"/>
    <n v="0"/>
    <n v="13.157200000000003"/>
  </r>
  <r>
    <n v="495"/>
    <s v="US-2018-120929"/>
    <d v="2018-03-18T00:00:00"/>
    <s v="Second Class"/>
    <s v="Rose O'Brian"/>
    <s v="Memphis"/>
    <s v="Tennessee"/>
    <s v="South"/>
    <s v="Furniture"/>
    <s v="Tables"/>
    <s v="Balt Solid Wood Rectangular Table"/>
    <n v="189.88200000000001"/>
    <n v="3"/>
    <n v="0.4"/>
    <n v="-94.941000000000017"/>
  </r>
  <r>
    <n v="496"/>
    <s v="CA-2017-134782"/>
    <d v="2017-12-27T00:00:00"/>
    <s v="Standard Class"/>
    <s v="Maribeth Dona"/>
    <s v="Fayetteville"/>
    <s v="Arkansas"/>
    <s v="South"/>
    <s v="Office Supplies"/>
    <s v="Envelopes"/>
    <s v="Strathmore #10 Envelopes, Ultimate White"/>
    <n v="105.42"/>
    <n v="2"/>
    <n v="0"/>
    <n v="51.655799999999999"/>
  </r>
  <r>
    <n v="497"/>
    <s v="CA-2018-126158"/>
    <d v="2018-07-25T00:00:00"/>
    <s v="Standard Class"/>
    <s v="Sanjit Chand"/>
    <s v="Costa Mesa"/>
    <s v="California"/>
    <s v="West"/>
    <s v="Office Supplies"/>
    <s v="Binders"/>
    <s v="Clear Mylar Reinforcing Strips"/>
    <n v="119.61600000000001"/>
    <n v="8"/>
    <n v="0.2"/>
    <n v="40.370399999999997"/>
  </r>
  <r>
    <n v="498"/>
    <s v="CA-2018-126158"/>
    <d v="2018-07-25T00:00:00"/>
    <s v="Standard Class"/>
    <s v="Sanjit Chand"/>
    <s v="Costa Mesa"/>
    <s v="California"/>
    <s v="West"/>
    <s v="Furniture"/>
    <s v="Furnishings"/>
    <s v="Howard Miller 14-1/2&quot; Diameter Chrome Round Wall Clock"/>
    <n v="255.76"/>
    <n v="4"/>
    <n v="0"/>
    <n v="81.843199999999996"/>
  </r>
  <r>
    <n v="499"/>
    <s v="CA-2018-126158"/>
    <d v="2018-07-25T00:00:00"/>
    <s v="Standard Class"/>
    <s v="Sanjit Chand"/>
    <s v="Costa Mesa"/>
    <s v="California"/>
    <s v="West"/>
    <s v="Furniture"/>
    <s v="Chairs"/>
    <s v="DMI Arturo Collection Mission-style Design Wood Chair"/>
    <n v="241.56799999999998"/>
    <n v="2"/>
    <n v="0.2"/>
    <n v="18.11760000000001"/>
  </r>
  <r>
    <n v="500"/>
    <s v="CA-2018-126158"/>
    <d v="2018-07-25T00:00:00"/>
    <s v="Standard Class"/>
    <s v="Sanjit Chand"/>
    <s v="Costa Mesa"/>
    <s v="California"/>
    <s v="West"/>
    <s v="Furniture"/>
    <s v="Furnishings"/>
    <s v="Deflect-O Glasstique Clear Desk Accessories"/>
    <n v="69.3"/>
    <n v="9"/>
    <n v="0"/>
    <n v="22.868999999999996"/>
  </r>
  <r>
    <n v="501"/>
    <s v="US-2018-105578"/>
    <d v="2018-05-30T00:00:00"/>
    <s v="Standard Class"/>
    <s v="Maribeth Yedwab"/>
    <s v="Parker"/>
    <s v="Colorado"/>
    <s v="West"/>
    <s v="Office Supplies"/>
    <s v="Binders"/>
    <s v="Vinyl Sectional Post Binders"/>
    <n v="22.620000000000005"/>
    <n v="2"/>
    <n v="0.7"/>
    <n v="-15.079999999999998"/>
  </r>
  <r>
    <n v="502"/>
    <s v="US-2018-105578"/>
    <d v="2018-05-30T00:00:00"/>
    <s v="Standard Class"/>
    <s v="Maribeth Yedwab"/>
    <s v="Parker"/>
    <s v="Colorado"/>
    <s v="West"/>
    <s v="Office Supplies"/>
    <s v="Binders"/>
    <s v="GBC Standard Therm-A-Bind Covers"/>
    <n v="14.952000000000004"/>
    <n v="2"/>
    <n v="0.7"/>
    <n v="-11.961599999999997"/>
  </r>
  <r>
    <n v="503"/>
    <s v="US-2018-105578"/>
    <d v="2018-05-30T00:00:00"/>
    <s v="Standard Class"/>
    <s v="Maribeth Yedwab"/>
    <s v="Parker"/>
    <s v="Colorado"/>
    <s v="West"/>
    <s v="Furniture"/>
    <s v="Chairs"/>
    <s v="Global Troy Executive Leather Low-Back Tilter"/>
    <n v="801.5680000000001"/>
    <n v="2"/>
    <n v="0.2"/>
    <n v="50.097999999999985"/>
  </r>
  <r>
    <n v="504"/>
    <s v="US-2018-105578"/>
    <d v="2018-05-30T00:00:00"/>
    <s v="Standard Class"/>
    <s v="Maribeth Yedwab"/>
    <s v="Parker"/>
    <s v="Colorado"/>
    <s v="West"/>
    <s v="Office Supplies"/>
    <s v="Binders"/>
    <s v="Storex Flexible Poly Binders with Double Pockets"/>
    <n v="2.3760000000000003"/>
    <n v="3"/>
    <n v="0.7"/>
    <n v="-1.9007999999999998"/>
  </r>
  <r>
    <n v="505"/>
    <s v="US-2018-105578"/>
    <d v="2018-05-30T00:00:00"/>
    <s v="Standard Class"/>
    <s v="Maribeth Yedwab"/>
    <s v="Parker"/>
    <s v="Colorado"/>
    <s v="West"/>
    <s v="Office Supplies"/>
    <s v="Paper"/>
    <s v="White Dual Perf Computer Printout Paper, 2700 Sheets, 1 Part, Heavyweight, 20 lbs., 14 7/8 x 11"/>
    <n v="32.792000000000002"/>
    <n v="1"/>
    <n v="0.2"/>
    <n v="11.8871"/>
  </r>
  <r>
    <n v="506"/>
    <s v="CA-2019-134978"/>
    <d v="2019-11-12T00:00:00"/>
    <s v="Second Class"/>
    <s v="Ed Braxton"/>
    <s v="New York City"/>
    <s v="New York"/>
    <s v="East"/>
    <s v="Office Supplies"/>
    <s v="Binders"/>
    <s v="Avery Durable Slant Ring Binders, No Labels"/>
    <n v="15.920000000000002"/>
    <n v="5"/>
    <n v="0.2"/>
    <n v="5.3729999999999993"/>
  </r>
  <r>
    <n v="507"/>
    <s v="CA-2017-145352"/>
    <d v="2017-03-16T00:00:00"/>
    <s v="Standard Class"/>
    <s v="Christopher Martinez"/>
    <s v="Atlanta"/>
    <s v="Georgia"/>
    <s v="South"/>
    <s v="Office Supplies"/>
    <s v="Art"/>
    <s v="Rogers Handheld Barrel Pencil Sharpener"/>
    <n v="2.74"/>
    <n v="1"/>
    <n v="0"/>
    <n v="0.73980000000000024"/>
  </r>
  <r>
    <n v="508"/>
    <s v="CA-2017-145352"/>
    <d v="2017-03-16T00:00:00"/>
    <s v="Standard Class"/>
    <s v="Christopher Martinez"/>
    <s v="Atlanta"/>
    <s v="Georgia"/>
    <s v="South"/>
    <s v="Office Supplies"/>
    <s v="Art"/>
    <s v="Newell 344"/>
    <n v="8.34"/>
    <n v="3"/>
    <n v="0"/>
    <n v="2.1683999999999997"/>
  </r>
  <r>
    <n v="509"/>
    <s v="CA-2017-145352"/>
    <d v="2017-03-16T00:00:00"/>
    <s v="Standard Class"/>
    <s v="Christopher Martinez"/>
    <s v="Atlanta"/>
    <s v="Georgia"/>
    <s v="South"/>
    <s v="Office Supplies"/>
    <s v="Storage"/>
    <s v="Personal File Boxes with Fold-Down Carry Handle"/>
    <n v="46.74"/>
    <n v="3"/>
    <n v="0"/>
    <n v="11.684999999999999"/>
  </r>
  <r>
    <n v="510"/>
    <s v="CA-2017-145352"/>
    <d v="2017-03-16T00:00:00"/>
    <s v="Standard Class"/>
    <s v="Christopher Martinez"/>
    <s v="Atlanta"/>
    <s v="Georgia"/>
    <s v="South"/>
    <s v="Office Supplies"/>
    <s v="Binders"/>
    <s v="Fellowes PB500 Electric Punch Plastic Comb Binding Machine with Manual Bind"/>
    <n v="6354.95"/>
    <n v="5"/>
    <n v="0"/>
    <n v="3177.4749999999999"/>
  </r>
  <r>
    <n v="511"/>
    <s v="CA-2019-135307"/>
    <d v="2019-11-26T00:00:00"/>
    <s v="First Class"/>
    <s v="Lynn Smith"/>
    <s v="Gladstone"/>
    <s v="Missouri"/>
    <s v="Central"/>
    <s v="Furniture"/>
    <s v="Furnishings"/>
    <s v="Executive Impressions Supervisor Wall Clock"/>
    <n v="126.30000000000001"/>
    <n v="3"/>
    <n v="0"/>
    <n v="40.415999999999997"/>
  </r>
  <r>
    <n v="512"/>
    <s v="CA-2019-135307"/>
    <d v="2019-11-26T00:00:00"/>
    <s v="First Class"/>
    <s v="Lynn Smith"/>
    <s v="Gladstone"/>
    <s v="Missouri"/>
    <s v="Central"/>
    <s v="Technology"/>
    <s v="Accessories"/>
    <s v="SanDisk Cruzer 32 GB USB Flash Drive"/>
    <n v="38.04"/>
    <n v="2"/>
    <n v="0"/>
    <n v="12.172799999999999"/>
  </r>
  <r>
    <n v="513"/>
    <s v="CA-2018-106341"/>
    <d v="2018-10-20T00:00:00"/>
    <s v="First Class"/>
    <s v="Luke Foster"/>
    <s v="Newark"/>
    <s v="Ohio"/>
    <s v="East"/>
    <s v="Office Supplies"/>
    <s v="Art"/>
    <s v="Premium Writing Pencils, Soft, #2 by Central Association for the Blind"/>
    <n v="7.1519999999999992"/>
    <n v="3"/>
    <n v="0.2"/>
    <n v="0.71520000000000028"/>
  </r>
  <r>
    <n v="514"/>
    <s v="CA-2019-163405"/>
    <d v="2019-12-21T00:00:00"/>
    <s v="Standard Class"/>
    <s v="Bradley Nguyen"/>
    <s v="Los Angeles"/>
    <s v="California"/>
    <s v="West"/>
    <s v="Office Supplies"/>
    <s v="Art"/>
    <s v="Newell 327"/>
    <n v="6.63"/>
    <n v="3"/>
    <n v="0"/>
    <n v="1.7901"/>
  </r>
  <r>
    <n v="515"/>
    <s v="CA-2019-163405"/>
    <d v="2019-12-21T00:00:00"/>
    <s v="Standard Class"/>
    <s v="Bradley Nguyen"/>
    <s v="Los Angeles"/>
    <s v="California"/>
    <s v="West"/>
    <s v="Office Supplies"/>
    <s v="Art"/>
    <s v="Newell 317"/>
    <n v="5.88"/>
    <n v="2"/>
    <n v="0"/>
    <n v="1.7051999999999996"/>
  </r>
  <r>
    <n v="516"/>
    <s v="CA-2019-127432"/>
    <d v="2019-01-22T00:00:00"/>
    <s v="Standard Class"/>
    <s v="Alan Dominguez"/>
    <s v="Great Falls"/>
    <s v="Montana"/>
    <s v="West"/>
    <s v="Technology"/>
    <s v="Copiers"/>
    <s v="Canon Image Class D660 Copier"/>
    <n v="2999.95"/>
    <n v="5"/>
    <n v="0"/>
    <n v="1379.9769999999999"/>
  </r>
  <r>
    <n v="517"/>
    <s v="CA-2019-127432"/>
    <d v="2019-01-22T00:00:00"/>
    <s v="Standard Class"/>
    <s v="Alan Dominguez"/>
    <s v="Great Falls"/>
    <s v="Montana"/>
    <s v="West"/>
    <s v="Office Supplies"/>
    <s v="Storage"/>
    <s v="Advantus Rolling Storage Box"/>
    <n v="51.449999999999996"/>
    <n v="3"/>
    <n v="0"/>
    <n v="13.891499999999999"/>
  </r>
  <r>
    <n v="518"/>
    <s v="CA-2019-127432"/>
    <d v="2019-01-22T00:00:00"/>
    <s v="Standard Class"/>
    <s v="Alan Dominguez"/>
    <s v="Great Falls"/>
    <s v="Montana"/>
    <s v="West"/>
    <s v="Office Supplies"/>
    <s v="Paper"/>
    <s v="Great White Multi-Use Recycled Paper (20Lb. and 84 Bright)"/>
    <n v="11.96"/>
    <n v="2"/>
    <n v="0"/>
    <n v="5.3819999999999997"/>
  </r>
  <r>
    <n v="519"/>
    <s v="CA-2019-127432"/>
    <d v="2019-01-22T00:00:00"/>
    <s v="Standard Class"/>
    <s v="Alan Dominguez"/>
    <s v="Great Falls"/>
    <s v="Montana"/>
    <s v="West"/>
    <s v="Office Supplies"/>
    <s v="Storage"/>
    <s v="Tennsco Single-Tier Lockers"/>
    <n v="1126.02"/>
    <n v="3"/>
    <n v="0"/>
    <n v="56.300999999999988"/>
  </r>
  <r>
    <n v="520"/>
    <s v="CA-2017-157812"/>
    <d v="2017-03-22T00:00:00"/>
    <s v="Standard Class"/>
    <s v="Dean Braden"/>
    <s v="Houston"/>
    <s v="Texas"/>
    <s v="Central"/>
    <s v="Technology"/>
    <s v="Accessories"/>
    <s v="Verbatim 25 GB 6x Blu-ray Single Layer Recordable Disc, 25/Pack"/>
    <n v="18.391999999999999"/>
    <n v="1"/>
    <n v="0.2"/>
    <n v="5.2877000000000001"/>
  </r>
  <r>
    <n v="521"/>
    <s v="CA-2017-157812"/>
    <d v="2017-03-22T00:00:00"/>
    <s v="Standard Class"/>
    <s v="Dean Braden"/>
    <s v="Houston"/>
    <s v="Texas"/>
    <s v="Central"/>
    <s v="Office Supplies"/>
    <s v="Storage"/>
    <s v="Carina Double Wide Media Storage Towers in Natural &amp; Black"/>
    <n v="129.56800000000001"/>
    <n v="2"/>
    <n v="0.2"/>
    <n v="-25.91360000000001"/>
  </r>
  <r>
    <n v="522"/>
    <s v="CA-2017-157812"/>
    <d v="2017-03-22T00:00:00"/>
    <s v="Standard Class"/>
    <s v="Dean Braden"/>
    <s v="Houston"/>
    <s v="Texas"/>
    <s v="Central"/>
    <s v="Office Supplies"/>
    <s v="Binders"/>
    <s v="XtraLife ClearVue Slant-D Ring Binders by Cardinal"/>
    <n v="14.111999999999997"/>
    <n v="9"/>
    <n v="0.8"/>
    <n v="-21.167999999999999"/>
  </r>
  <r>
    <n v="523"/>
    <s v="CA-2019-145142"/>
    <d v="2019-01-23T00:00:00"/>
    <s v="First Class"/>
    <s v="Matt Connell"/>
    <s v="Detroit"/>
    <s v="Michigan"/>
    <s v="Central"/>
    <s v="Furniture"/>
    <s v="Tables"/>
    <s v="Balt Solid Wood Rectangular Table"/>
    <n v="210.98"/>
    <n v="2"/>
    <n v="0"/>
    <n v="21.097999999999985"/>
  </r>
  <r>
    <n v="524"/>
    <s v="US-2018-139486"/>
    <d v="2018-05-21T00:00:00"/>
    <s v="First Class"/>
    <s v="Logan Haushalter"/>
    <s v="Los Angeles"/>
    <s v="California"/>
    <s v="West"/>
    <s v="Technology"/>
    <s v="Phones"/>
    <s v="Motorola HK250 Universal Bluetooth Headset"/>
    <n v="55.176000000000002"/>
    <n v="3"/>
    <n v="0.2"/>
    <n v="-12.414599999999997"/>
  </r>
  <r>
    <n v="525"/>
    <s v="US-2018-139486"/>
    <d v="2018-05-21T00:00:00"/>
    <s v="First Class"/>
    <s v="Logan Haushalter"/>
    <s v="Los Angeles"/>
    <s v="California"/>
    <s v="West"/>
    <s v="Technology"/>
    <s v="Accessories"/>
    <s v="Imation 16GB Mini TravelDrive USB 2.0 Flash Drive"/>
    <n v="66.260000000000005"/>
    <n v="2"/>
    <n v="0"/>
    <n v="27.166600000000003"/>
  </r>
  <r>
    <n v="526"/>
    <s v="CA-2017-158792"/>
    <d v="2017-12-26T00:00:00"/>
    <s v="Standard Class"/>
    <s v="Brian Dahlen"/>
    <s v="Lawrence"/>
    <s v="Massachusetts"/>
    <s v="East"/>
    <s v="Office Supplies"/>
    <s v="Fasteners"/>
    <s v="Staples"/>
    <n v="22.200000000000003"/>
    <n v="5"/>
    <n v="0"/>
    <n v="10.434000000000001"/>
  </r>
  <r>
    <n v="527"/>
    <s v="CA-2019-113558"/>
    <d v="2019-10-21T00:00:00"/>
    <s v="Standard Class"/>
    <s v="Patricia Hirasaki"/>
    <s v="Lakeland"/>
    <s v="Florida"/>
    <s v="South"/>
    <s v="Furniture"/>
    <s v="Chairs"/>
    <s v="Global Commerce Series High-Back Swivel/Tilt Chairs"/>
    <n v="683.95200000000011"/>
    <n v="3"/>
    <n v="0.2"/>
    <n v="42.746999999999986"/>
  </r>
  <r>
    <n v="528"/>
    <s v="CA-2019-113558"/>
    <d v="2019-10-21T00:00:00"/>
    <s v="Standard Class"/>
    <s v="Patricia Hirasaki"/>
    <s v="Lakeland"/>
    <s v="Florida"/>
    <s v="South"/>
    <s v="Furniture"/>
    <s v="Furnishings"/>
    <s v="Eldon Expressions Desk Accessory, Wood Photo Frame, Mahogany"/>
    <n v="45.695999999999998"/>
    <n v="3"/>
    <n v="0.2"/>
    <n v="5.1407999999999916"/>
  </r>
  <r>
    <n v="529"/>
    <s v="US-2017-138303"/>
    <d v="2017-09-03T00:00:00"/>
    <s v="Standard Class"/>
    <s v="Mike Gockenbach"/>
    <s v="Philadelphia"/>
    <s v="Pennsylvania"/>
    <s v="East"/>
    <s v="Office Supplies"/>
    <s v="Storage"/>
    <s v="Eldon Gobal File Keepers"/>
    <n v="36.336000000000006"/>
    <n v="3"/>
    <n v="0.2"/>
    <n v="-7.2672000000000043"/>
  </r>
  <r>
    <n v="530"/>
    <s v="US-2017-138303"/>
    <d v="2017-09-03T00:00:00"/>
    <s v="Standard Class"/>
    <s v="Mike Gockenbach"/>
    <s v="Philadelphia"/>
    <s v="Pennsylvania"/>
    <s v="East"/>
    <s v="Office Supplies"/>
    <s v="Supplies"/>
    <s v="Martin Yale Chadless Opener Electric Letter Opener"/>
    <n v="666.24800000000005"/>
    <n v="1"/>
    <n v="0.2"/>
    <n v="-149.9058"/>
  </r>
  <r>
    <n v="531"/>
    <s v="US-2017-138303"/>
    <d v="2017-09-03T00:00:00"/>
    <s v="Standard Class"/>
    <s v="Mike Gockenbach"/>
    <s v="Philadelphia"/>
    <s v="Pennsylvania"/>
    <s v="East"/>
    <s v="Office Supplies"/>
    <s v="Envelopes"/>
    <s v="White Business Envelopes with Contemporary Seam, Recycled White Business Envelopes"/>
    <n v="52.512"/>
    <n v="6"/>
    <n v="0.2"/>
    <n v="19.692"/>
  </r>
  <r>
    <n v="532"/>
    <s v="CA-2017-102848"/>
    <d v="2017-11-07T00:00:00"/>
    <s v="Second Class"/>
    <s v="Karen Bern"/>
    <s v="Los Angeles"/>
    <s v="California"/>
    <s v="West"/>
    <s v="Furniture"/>
    <s v="Chairs"/>
    <s v="Safco Contoured Stacking Chairs"/>
    <n v="190.72000000000003"/>
    <n v="1"/>
    <n v="0.2"/>
    <n v="11.919999999999987"/>
  </r>
  <r>
    <n v="533"/>
    <s v="US-2019-129441"/>
    <d v="2019-09-07T00:00:00"/>
    <s v="Standard Class"/>
    <s v="Jasper Cacioppo"/>
    <s v="Los Angeles"/>
    <s v="California"/>
    <s v="West"/>
    <s v="Furniture"/>
    <s v="Furnishings"/>
    <s v="Tenex Chairmats For Use With Carpeted Floors"/>
    <n v="47.94"/>
    <n v="3"/>
    <n v="0"/>
    <n v="2.3969999999999985"/>
  </r>
  <r>
    <n v="534"/>
    <s v="CA-2018-168753"/>
    <d v="2018-05-29T00:00:00"/>
    <s v="Second Class"/>
    <s v="Rob Lucas"/>
    <s v="Montgomery"/>
    <s v="Alabama"/>
    <s v="South"/>
    <s v="Technology"/>
    <s v="Phones"/>
    <s v="Panasonic KX-TG9471B"/>
    <n v="979.95"/>
    <n v="5"/>
    <n v="0"/>
    <n v="274.38600000000008"/>
  </r>
  <r>
    <n v="535"/>
    <s v="CA-2018-168753"/>
    <d v="2018-05-29T00:00:00"/>
    <s v="Second Class"/>
    <s v="Rob Lucas"/>
    <s v="Montgomery"/>
    <s v="Alabama"/>
    <s v="South"/>
    <s v="Office Supplies"/>
    <s v="Binders"/>
    <s v="Presstex Flexible Ring Binders"/>
    <n v="22.75"/>
    <n v="5"/>
    <n v="0"/>
    <n v="11.375"/>
  </r>
  <r>
    <n v="536"/>
    <s v="CA-2018-126613"/>
    <d v="2018-07-10T00:00:00"/>
    <s v="Standard Class"/>
    <s v="Allen Armold"/>
    <s v="Mesa"/>
    <s v="Arizona"/>
    <s v="West"/>
    <s v="Office Supplies"/>
    <s v="Storage"/>
    <s v="Sterilite Officeware Hinged File Box"/>
    <n v="16.768000000000001"/>
    <n v="2"/>
    <n v="0.2"/>
    <n v="1.4672000000000001"/>
  </r>
  <r>
    <n v="537"/>
    <s v="US-2019-122637"/>
    <d v="2019-09-03T00:00:00"/>
    <s v="Second Class"/>
    <s v="Emily Phan"/>
    <s v="Chicago"/>
    <s v="Illinois"/>
    <s v="Central"/>
    <s v="Office Supplies"/>
    <s v="Binders"/>
    <s v="Premier Elliptical Ring Binder, Black"/>
    <n v="42.615999999999993"/>
    <n v="7"/>
    <n v="0.8"/>
    <n v="-68.185600000000022"/>
  </r>
  <r>
    <n v="538"/>
    <s v="CA-2017-147851"/>
    <d v="2017-12-03T00:00:00"/>
    <s v="Standard Class"/>
    <s v="Mark Packer"/>
    <s v="New York City"/>
    <s v="New York"/>
    <s v="East"/>
    <s v="Office Supplies"/>
    <s v="Binders"/>
    <s v="Cardinal Poly Pocket Divider Pockets for Ring Binders"/>
    <n v="10.752000000000001"/>
    <n v="4"/>
    <n v="0.2"/>
    <n v="3.359999999999999"/>
  </r>
  <r>
    <n v="539"/>
    <s v="CA-2017-134894"/>
    <d v="2017-12-07T00:00:00"/>
    <s v="Standard Class"/>
    <s v="Darren Koutras"/>
    <s v="Henderson"/>
    <s v="Kentucky"/>
    <s v="South"/>
    <s v="Office Supplies"/>
    <s v="Appliances"/>
    <s v="Eureka The Boss Cordless Rechargeable Stick Vac"/>
    <n v="152.94"/>
    <n v="3"/>
    <n v="0"/>
    <n v="41.293800000000005"/>
  </r>
  <r>
    <n v="540"/>
    <s v="CA-2017-134894"/>
    <d v="2017-12-07T00:00:00"/>
    <s v="Standard Class"/>
    <s v="Darren Koutras"/>
    <s v="Henderson"/>
    <s v="Kentucky"/>
    <s v="South"/>
    <s v="Furniture"/>
    <s v="Chairs"/>
    <s v="Situations Contoured Folding Chairs, 4/Set"/>
    <n v="283.92"/>
    <n v="4"/>
    <n v="0"/>
    <n v="70.980000000000018"/>
  </r>
  <r>
    <n v="541"/>
    <s v="CA-2016-140795"/>
    <d v="2016-02-01T00:00:00"/>
    <s v="First Class"/>
    <s v="Bradley Drucker"/>
    <s v="Green Bay"/>
    <s v="Wisconsin"/>
    <s v="Central"/>
    <s v="Technology"/>
    <s v="Accessories"/>
    <s v="Enermax Aurora Lite Keyboard"/>
    <n v="468.90000000000003"/>
    <n v="6"/>
    <n v="0"/>
    <n v="206.31600000000006"/>
  </r>
  <r>
    <n v="542"/>
    <s v="CA-2018-136924"/>
    <d v="2018-07-14T00:00:00"/>
    <s v="First Class"/>
    <s v="Erin Smith"/>
    <s v="Tucson"/>
    <s v="Arizona"/>
    <s v="West"/>
    <s v="Technology"/>
    <s v="Phones"/>
    <s v="LG Electronics Tone+ HBS-730 Bluetooth Headset"/>
    <n v="380.86400000000003"/>
    <n v="8"/>
    <n v="0.2"/>
    <n v="38.086400000000026"/>
  </r>
  <r>
    <n v="543"/>
    <s v="US-2017-120161"/>
    <d v="2017-12-18T00:00:00"/>
    <s v="Standard Class"/>
    <s v="Liz MacKendrick"/>
    <s v="Springfield"/>
    <s v="Ohio"/>
    <s v="East"/>
    <s v="Office Supplies"/>
    <s v="Storage"/>
    <s v="Fellowes Officeware Wire Shelving"/>
    <n v="646.77600000000007"/>
    <n v="9"/>
    <n v="0.2"/>
    <n v="-145.52460000000002"/>
  </r>
  <r>
    <n v="544"/>
    <s v="CA-2016-103849"/>
    <d v="2016-05-11T00:00:00"/>
    <s v="Standard Class"/>
    <s v="Paul Gonzalez"/>
    <s v="Fort Worth"/>
    <s v="Texas"/>
    <s v="Central"/>
    <s v="Technology"/>
    <s v="Accessories"/>
    <s v="SanDisk Cruzer 64 GB USB Flash Drive"/>
    <n v="58.112000000000002"/>
    <n v="2"/>
    <n v="0.2"/>
    <n v="7.263999999999994"/>
  </r>
  <r>
    <n v="545"/>
    <s v="CA-2016-103849"/>
    <d v="2016-05-11T00:00:00"/>
    <s v="Standard Class"/>
    <s v="Paul Gonzalez"/>
    <s v="Fort Worth"/>
    <s v="Texas"/>
    <s v="Central"/>
    <s v="Technology"/>
    <s v="Phones"/>
    <s v="Xblue XB-1670-86 X16 Small Office Telephone - Titanium"/>
    <n v="100.792"/>
    <n v="1"/>
    <n v="0.2"/>
    <n v="6.2995000000000019"/>
  </r>
  <r>
    <n v="546"/>
    <s v="CA-2016-103849"/>
    <d v="2016-05-11T00:00:00"/>
    <s v="Standard Class"/>
    <s v="Paul Gonzalez"/>
    <s v="Fort Worth"/>
    <s v="Texas"/>
    <s v="Central"/>
    <s v="Furniture"/>
    <s v="Furnishings"/>
    <s v="Deflect-o EconoMat Studded, No Bevel Mat for Low Pile Carpeting"/>
    <n v="66.112000000000009"/>
    <n v="4"/>
    <n v="0.6"/>
    <n v="-84.292799999999986"/>
  </r>
  <r>
    <n v="547"/>
    <s v="CA-2019-162929"/>
    <d v="2019-11-19T00:00:00"/>
    <s v="First Class"/>
    <s v="Adrian Shami"/>
    <s v="New York City"/>
    <s v="New York"/>
    <s v="East"/>
    <s v="Office Supplies"/>
    <s v="Binders"/>
    <s v="Avery Printable Repositionable Plastic Tabs"/>
    <n v="41.28"/>
    <n v="6"/>
    <n v="0.2"/>
    <n v="13.931999999999999"/>
  </r>
  <r>
    <n v="548"/>
    <s v="CA-2019-162929"/>
    <d v="2019-11-19T00:00:00"/>
    <s v="First Class"/>
    <s v="Adrian Shami"/>
    <s v="New York City"/>
    <s v="New York"/>
    <s v="East"/>
    <s v="Office Supplies"/>
    <s v="Paper"/>
    <s v="Xerox 1898"/>
    <n v="13.36"/>
    <n v="2"/>
    <n v="0"/>
    <n v="6.4127999999999998"/>
  </r>
  <r>
    <n v="549"/>
    <s v="CA-2017-113173"/>
    <d v="2017-11-15T00:00:00"/>
    <s v="Second Class"/>
    <s v="Dean Katz"/>
    <s v="Chicago"/>
    <s v="Illinois"/>
    <s v="Central"/>
    <s v="Office Supplies"/>
    <s v="Storage"/>
    <s v="Home/Office Personal File Carts"/>
    <n v="250.27199999999999"/>
    <n v="9"/>
    <n v="0.2"/>
    <n v="15.641999999999982"/>
  </r>
  <r>
    <n v="550"/>
    <s v="CA-2017-113173"/>
    <d v="2017-11-15T00:00:00"/>
    <s v="Second Class"/>
    <s v="Dean Katz"/>
    <s v="Chicago"/>
    <s v="Illinois"/>
    <s v="Central"/>
    <s v="Office Supplies"/>
    <s v="Binders"/>
    <s v="Flexible Leather- Look Classic Collection Ring Binder"/>
    <n v="11.363999999999997"/>
    <n v="3"/>
    <n v="0.8"/>
    <n v="-17.045999999999999"/>
  </r>
  <r>
    <n v="551"/>
    <s v="CA-2017-113173"/>
    <d v="2017-11-15T00:00:00"/>
    <s v="Second Class"/>
    <s v="Dean Katz"/>
    <s v="Chicago"/>
    <s v="Illinois"/>
    <s v="Central"/>
    <s v="Office Supplies"/>
    <s v="Supplies"/>
    <s v="Staple remover"/>
    <n v="8.7200000000000006"/>
    <n v="5"/>
    <n v="0.2"/>
    <n v="-1.7440000000000015"/>
  </r>
  <r>
    <n v="552"/>
    <s v="CA-2018-136406"/>
    <d v="2018-04-15T00:00:00"/>
    <s v="Second Class"/>
    <s v="Bill Donatelli"/>
    <s v="San Francisco"/>
    <s v="California"/>
    <s v="West"/>
    <s v="Furniture"/>
    <s v="Chairs"/>
    <s v="HON 5400 Series Task Chairs for Big and Tall"/>
    <n v="1121.568"/>
    <n v="2"/>
    <n v="0.2"/>
    <n v="0"/>
  </r>
  <r>
    <n v="553"/>
    <s v="CA-2019-112774"/>
    <d v="2019-09-11T00:00:00"/>
    <s v="First Class"/>
    <s v="Ryan Crowe"/>
    <s v="Jacksonville"/>
    <s v="Florida"/>
    <s v="South"/>
    <s v="Furniture"/>
    <s v="Furnishings"/>
    <s v="Howard Miller 11-1/2&quot; Diameter Grantwood Wall Clock"/>
    <n v="34.504000000000005"/>
    <n v="1"/>
    <n v="0.2"/>
    <n v="6.0381999999999998"/>
  </r>
  <r>
    <n v="554"/>
    <s v="CA-2019-101945"/>
    <d v="2019-11-24T00:00:00"/>
    <s v="Standard Class"/>
    <s v="Greg Tran"/>
    <s v="Houston"/>
    <s v="Texas"/>
    <s v="Central"/>
    <s v="Office Supplies"/>
    <s v="Fasteners"/>
    <s v="Advantus T-Pin Paper Clips"/>
    <n v="10.824"/>
    <n v="3"/>
    <n v="0.2"/>
    <n v="2.5707"/>
  </r>
  <r>
    <n v="555"/>
    <s v="CA-2019-100650"/>
    <d v="2019-06-29T00:00:00"/>
    <s v="Second Class"/>
    <s v="Dean Katz"/>
    <s v="Anaheim"/>
    <s v="California"/>
    <s v="West"/>
    <s v="Office Supplies"/>
    <s v="Storage"/>
    <s v="Tennsco 16-Compartment Lockers with Coat Rack"/>
    <n v="1295.78"/>
    <n v="2"/>
    <n v="0"/>
    <n v="310.98720000000003"/>
  </r>
  <r>
    <n v="556"/>
    <s v="CA-2016-155852"/>
    <d v="2016-03-03T00:00:00"/>
    <s v="Second Class"/>
    <s v="Ashley Jarboe"/>
    <s v="Wilmington"/>
    <s v="North Carolina"/>
    <s v="South"/>
    <s v="Office Supplies"/>
    <s v="Art"/>
    <s v="Zebra Zazzle Fluorescent Highlighters"/>
    <n v="19.456000000000003"/>
    <n v="4"/>
    <n v="0.2"/>
    <n v="3.4047999999999981"/>
  </r>
  <r>
    <n v="557"/>
    <s v="CA-2018-113243"/>
    <d v="2018-06-10T00:00:00"/>
    <s v="Standard Class"/>
    <s v="Olvera Toch"/>
    <s v="Los Angeles"/>
    <s v="California"/>
    <s v="West"/>
    <s v="Office Supplies"/>
    <s v="Labels"/>
    <s v="Avery 473"/>
    <n v="20.7"/>
    <n v="2"/>
    <n v="0"/>
    <n v="9.9359999999999999"/>
  </r>
  <r>
    <n v="558"/>
    <s v="CA-2018-113243"/>
    <d v="2018-06-10T00:00:00"/>
    <s v="Standard Class"/>
    <s v="Olvera Toch"/>
    <s v="Los Angeles"/>
    <s v="California"/>
    <s v="West"/>
    <s v="Furniture"/>
    <s v="Tables"/>
    <s v="Bretford “Just In Time” Height-Adjustable Multi-Task Work Tables"/>
    <n v="1335.68"/>
    <n v="4"/>
    <n v="0.2"/>
    <n v="-217.04800000000017"/>
  </r>
  <r>
    <n v="559"/>
    <s v="CA-2018-113243"/>
    <d v="2018-06-10T00:00:00"/>
    <s v="Standard Class"/>
    <s v="Olvera Toch"/>
    <s v="Los Angeles"/>
    <s v="California"/>
    <s v="West"/>
    <s v="Office Supplies"/>
    <s v="Paper"/>
    <s v="Xerox 226"/>
    <n v="32.400000000000006"/>
    <n v="5"/>
    <n v="0"/>
    <n v="15.552000000000001"/>
  </r>
  <r>
    <n v="560"/>
    <s v="CA-2019-118731"/>
    <d v="2019-11-20T00:00:00"/>
    <s v="Second Class"/>
    <s v="Liz Pelletier"/>
    <s v="San Francisco"/>
    <s v="California"/>
    <s v="West"/>
    <s v="Furniture"/>
    <s v="Furnishings"/>
    <s v="Coloredge Poster Frame"/>
    <n v="42.599999999999994"/>
    <n v="3"/>
    <n v="0"/>
    <n v="16.614000000000001"/>
  </r>
  <r>
    <n v="561"/>
    <s v="CA-2019-118731"/>
    <d v="2019-11-20T00:00:00"/>
    <s v="Second Class"/>
    <s v="Liz Pelletier"/>
    <s v="San Francisco"/>
    <s v="California"/>
    <s v="West"/>
    <s v="Office Supplies"/>
    <s v="Binders"/>
    <s v="GBC Prepunched Paper, 19-Hole, for Binding Systems, 24-lb"/>
    <n v="84.056000000000012"/>
    <n v="7"/>
    <n v="0.2"/>
    <n v="27.318199999999983"/>
  </r>
  <r>
    <n v="562"/>
    <s v="CA-2016-145576"/>
    <d v="2016-09-14T00:00:00"/>
    <s v="Second Class"/>
    <s v="Cynthia Arntzen"/>
    <s v="Tampa"/>
    <s v="Florida"/>
    <s v="South"/>
    <s v="Office Supplies"/>
    <s v="Appliances"/>
    <s v="Sanitaire Vibra Groomer IR Commercial Upright Vacuum, Replacement Belts"/>
    <n v="13"/>
    <n v="5"/>
    <n v="0.2"/>
    <n v="1.3000000000000007"/>
  </r>
  <r>
    <n v="563"/>
    <s v="CA-2016-145576"/>
    <d v="2016-09-14T00:00:00"/>
    <s v="Second Class"/>
    <s v="Cynthia Arntzen"/>
    <s v="Tampa"/>
    <s v="Florida"/>
    <s v="South"/>
    <s v="Furniture"/>
    <s v="Furnishings"/>
    <s v="Advantus Panel Wall Acrylic Frame"/>
    <n v="13.128"/>
    <n v="3"/>
    <n v="0.2"/>
    <n v="3.7743000000000002"/>
  </r>
  <r>
    <n v="564"/>
    <s v="CA-2017-130736"/>
    <d v="2017-12-07T00:00:00"/>
    <s v="First Class"/>
    <s v="Jeremy Farry"/>
    <s v="Seattle"/>
    <s v="Washington"/>
    <s v="West"/>
    <s v="Office Supplies"/>
    <s v="Fasteners"/>
    <s v="Alliance Big Bands Rubber Bands, 12/Pack"/>
    <n v="3.96"/>
    <n v="2"/>
    <n v="0"/>
    <n v="0"/>
  </r>
  <r>
    <n v="565"/>
    <s v="CA-2017-130736"/>
    <d v="2017-12-07T00:00:00"/>
    <s v="First Class"/>
    <s v="Jeremy Farry"/>
    <s v="Seattle"/>
    <s v="Washington"/>
    <s v="West"/>
    <s v="Office Supplies"/>
    <s v="Labels"/>
    <s v="Avery 509"/>
    <n v="2.61"/>
    <n v="1"/>
    <n v="0"/>
    <n v="1.2005999999999999"/>
  </r>
  <r>
    <n v="566"/>
    <s v="CA-2019-137099"/>
    <d v="2019-12-07T00:00:00"/>
    <s v="First Class"/>
    <s v="Frank Preis"/>
    <s v="Los Angeles"/>
    <s v="California"/>
    <s v="West"/>
    <s v="Technology"/>
    <s v="Phones"/>
    <s v="Cisco SPA301"/>
    <n v="374.37600000000003"/>
    <n v="3"/>
    <n v="0.2"/>
    <n v="46.796999999999983"/>
  </r>
  <r>
    <n v="567"/>
    <s v="CA-2019-156951"/>
    <d v="2019-10-01T00:00:00"/>
    <s v="Standard Class"/>
    <s v="Ellis Ballard"/>
    <s v="Seattle"/>
    <s v="Washington"/>
    <s v="West"/>
    <s v="Office Supplies"/>
    <s v="Paper"/>
    <s v="Personal Creations Ink Jet Cards and Labels"/>
    <n v="91.84"/>
    <n v="8"/>
    <n v="0"/>
    <n v="45.001600000000003"/>
  </r>
  <r>
    <n v="568"/>
    <s v="CA-2019-156951"/>
    <d v="2019-10-01T00:00:00"/>
    <s v="Standard Class"/>
    <s v="Ellis Ballard"/>
    <s v="Seattle"/>
    <s v="Washington"/>
    <s v="West"/>
    <s v="Office Supplies"/>
    <s v="Binders"/>
    <s v="GBC White Gloss Covers, Plain Front"/>
    <n v="81.088000000000008"/>
    <n v="7"/>
    <n v="0.2"/>
    <n v="27.3672"/>
  </r>
  <r>
    <n v="569"/>
    <s v="CA-2019-156951"/>
    <d v="2019-10-01T00:00:00"/>
    <s v="Standard Class"/>
    <s v="Ellis Ballard"/>
    <s v="Seattle"/>
    <s v="Washington"/>
    <s v="West"/>
    <s v="Office Supplies"/>
    <s v="Paper"/>
    <s v="Xerox 222"/>
    <n v="19.440000000000001"/>
    <n v="3"/>
    <n v="0"/>
    <n v="9.3312000000000008"/>
  </r>
  <r>
    <n v="570"/>
    <s v="CA-2019-156951"/>
    <d v="2019-10-01T00:00:00"/>
    <s v="Standard Class"/>
    <s v="Ellis Ballard"/>
    <s v="Seattle"/>
    <s v="Washington"/>
    <s v="West"/>
    <s v="Furniture"/>
    <s v="Chairs"/>
    <s v="Hon Every-Day Series Multi-Task Chairs"/>
    <n v="451.15199999999993"/>
    <n v="3"/>
    <n v="0.2"/>
    <n v="0"/>
  </r>
  <r>
    <n v="571"/>
    <s v="CA-2019-164826"/>
    <d v="2019-12-28T00:00:00"/>
    <s v="Standard Class"/>
    <s v="Jennifer Ferguson"/>
    <s v="New York City"/>
    <s v="New York"/>
    <s v="East"/>
    <s v="Office Supplies"/>
    <s v="Labels"/>
    <s v="Avery 473"/>
    <n v="72.45"/>
    <n v="7"/>
    <n v="0"/>
    <n v="34.775999999999996"/>
  </r>
  <r>
    <n v="572"/>
    <s v="CA-2019-164826"/>
    <d v="2019-12-28T00:00:00"/>
    <s v="Standard Class"/>
    <s v="Jennifer Ferguson"/>
    <s v="New York City"/>
    <s v="New York"/>
    <s v="East"/>
    <s v="Office Supplies"/>
    <s v="Fasteners"/>
    <s v="OIC Bulk Pack Metal Binder Clips"/>
    <n v="13.96"/>
    <n v="4"/>
    <n v="0"/>
    <n v="6.4215999999999998"/>
  </r>
  <r>
    <n v="573"/>
    <s v="CA-2019-164826"/>
    <d v="2019-12-28T00:00:00"/>
    <s v="Standard Class"/>
    <s v="Jennifer Ferguson"/>
    <s v="New York City"/>
    <s v="New York"/>
    <s v="East"/>
    <s v="Office Supplies"/>
    <s v="Binders"/>
    <s v="Storex Dura Pro Binders"/>
    <n v="33.264000000000003"/>
    <n v="7"/>
    <n v="0.2"/>
    <n v="11.226599999999999"/>
  </r>
  <r>
    <n v="574"/>
    <s v="CA-2019-164826"/>
    <d v="2019-12-28T00:00:00"/>
    <s v="Standard Class"/>
    <s v="Jennifer Ferguson"/>
    <s v="New York City"/>
    <s v="New York"/>
    <s v="East"/>
    <s v="Technology"/>
    <s v="Phones"/>
    <s v="Cush Cases Heavy Duty Rugged Cover Case for Samsung Galaxy S5 - Purple"/>
    <n v="14.850000000000001"/>
    <n v="3"/>
    <n v="0"/>
    <n v="4.0095000000000001"/>
  </r>
  <r>
    <n v="575"/>
    <s v="CA-2018-127250"/>
    <d v="2018-11-03T00:00:00"/>
    <s v="Standard Class"/>
    <s v="Sarah Foster"/>
    <s v="Marysville"/>
    <s v="Washington"/>
    <s v="West"/>
    <s v="Office Supplies"/>
    <s v="Art"/>
    <s v="Newell 332"/>
    <n v="8.82"/>
    <n v="3"/>
    <n v="0"/>
    <n v="2.3814000000000002"/>
  </r>
  <r>
    <n v="576"/>
    <s v="CA-2017-149713"/>
    <d v="2017-09-18T00:00:00"/>
    <s v="Second Class"/>
    <s v="Trudy Glocke"/>
    <s v="Long Beach"/>
    <s v="California"/>
    <s v="West"/>
    <s v="Office Supplies"/>
    <s v="Paper"/>
    <s v="Personal Creations Ink Jet Cards and Labels"/>
    <n v="160.72"/>
    <n v="14"/>
    <n v="0"/>
    <n v="78.752800000000008"/>
  </r>
  <r>
    <n v="577"/>
    <s v="CA-2017-149713"/>
    <d v="2017-09-18T00:00:00"/>
    <s v="Second Class"/>
    <s v="Trudy Glocke"/>
    <s v="Long Beach"/>
    <s v="California"/>
    <s v="West"/>
    <s v="Office Supplies"/>
    <s v="Paper"/>
    <s v="Rediform S.O.S. Phone Message Books"/>
    <n v="19.920000000000002"/>
    <n v="4"/>
    <n v="0"/>
    <n v="9.7608000000000015"/>
  </r>
  <r>
    <n v="578"/>
    <s v="CA-2017-149713"/>
    <d v="2017-09-18T00:00:00"/>
    <s v="Second Class"/>
    <s v="Trudy Glocke"/>
    <s v="Long Beach"/>
    <s v="California"/>
    <s v="West"/>
    <s v="Office Supplies"/>
    <s v="Supplies"/>
    <s v="Acme Value Line Scissors"/>
    <n v="7.3"/>
    <n v="2"/>
    <n v="0"/>
    <n v="2.1899999999999995"/>
  </r>
  <r>
    <n v="579"/>
    <s v="CA-2019-118640"/>
    <d v="2019-07-20T00:00:00"/>
    <s v="Standard Class"/>
    <s v="Carlos Soltero"/>
    <s v="Chicago"/>
    <s v="Illinois"/>
    <s v="Central"/>
    <s v="Office Supplies"/>
    <s v="Storage"/>
    <s v="Trav-L-File Heavy-Duty Shuttle II, Black"/>
    <n v="69.712000000000003"/>
    <n v="2"/>
    <n v="0.2"/>
    <n v="8.7139999999999951"/>
  </r>
  <r>
    <n v="580"/>
    <s v="CA-2019-118640"/>
    <d v="2019-07-20T00:00:00"/>
    <s v="Standard Class"/>
    <s v="Carlos Soltero"/>
    <s v="Chicago"/>
    <s v="Illinois"/>
    <s v="Central"/>
    <s v="Furniture"/>
    <s v="Furnishings"/>
    <s v="Contract Clock, 14&quot;, Brown"/>
    <n v="8.7919999999999998"/>
    <n v="1"/>
    <n v="0.6"/>
    <n v="-5.7148000000000003"/>
  </r>
  <r>
    <n v="581"/>
    <s v="CA-2017-132906"/>
    <d v="2017-09-10T00:00:00"/>
    <s v="Standard Class"/>
    <s v="Charles Crestani"/>
    <s v="Los Angeles"/>
    <s v="California"/>
    <s v="West"/>
    <s v="Office Supplies"/>
    <s v="Supplies"/>
    <s v="Martin-Yale Premier Letter Opener"/>
    <n v="51.52"/>
    <n v="4"/>
    <n v="0"/>
    <n v="1.5456000000000003"/>
  </r>
  <r>
    <n v="582"/>
    <s v="CA-2019-145233"/>
    <d v="2019-12-01T00:00:00"/>
    <s v="Standard Class"/>
    <s v="Dianna Vittorini"/>
    <s v="Denver"/>
    <s v="Colorado"/>
    <s v="West"/>
    <s v="Technology"/>
    <s v="Phones"/>
    <s v="GE 30524EE4"/>
    <n v="470.37600000000009"/>
    <n v="3"/>
    <n v="0.2"/>
    <n v="52.917299999999955"/>
  </r>
  <r>
    <n v="583"/>
    <s v="CA-2019-145233"/>
    <d v="2019-12-01T00:00:00"/>
    <s v="Standard Class"/>
    <s v="Dianna Vittorini"/>
    <s v="Denver"/>
    <s v="Colorado"/>
    <s v="West"/>
    <s v="Technology"/>
    <s v="Phones"/>
    <s v="AT&amp;T SB67148 SynJ"/>
    <n v="105.584"/>
    <n v="2"/>
    <n v="0.2"/>
    <n v="9.2386000000000053"/>
  </r>
  <r>
    <n v="584"/>
    <s v="CA-2019-145233"/>
    <d v="2019-12-01T00:00:00"/>
    <s v="Standard Class"/>
    <s v="Dianna Vittorini"/>
    <s v="Denver"/>
    <s v="Colorado"/>
    <s v="West"/>
    <s v="Office Supplies"/>
    <s v="Appliances"/>
    <s v="Fellowes Basic Home/Office Series Surge Protectors"/>
    <n v="31.152000000000001"/>
    <n v="3"/>
    <n v="0.2"/>
    <n v="3.5045999999999964"/>
  </r>
  <r>
    <n v="585"/>
    <s v="CA-2019-145233"/>
    <d v="2019-12-01T00:00:00"/>
    <s v="Standard Class"/>
    <s v="Dianna Vittorini"/>
    <s v="Denver"/>
    <s v="Colorado"/>
    <s v="West"/>
    <s v="Office Supplies"/>
    <s v="Binders"/>
    <s v="Recycled Pressboard Report Cover with Reinforced Top Hinge"/>
    <n v="6.7830000000000004"/>
    <n v="7"/>
    <n v="0.7"/>
    <n v="-4.7480999999999973"/>
  </r>
  <r>
    <n v="586"/>
    <s v="CA-2019-145233"/>
    <d v="2019-12-01T00:00:00"/>
    <s v="Standard Class"/>
    <s v="Dianna Vittorini"/>
    <s v="Denver"/>
    <s v="Colorado"/>
    <s v="West"/>
    <s v="Technology"/>
    <s v="Phones"/>
    <s v="Jabra BIZ 2300 Duo QD Duo Corded Headset"/>
    <n v="406.36799999999999"/>
    <n v="4"/>
    <n v="0.2"/>
    <n v="30.477599999999981"/>
  </r>
  <r>
    <n v="587"/>
    <s v="CA-2017-128139"/>
    <d v="2017-07-03T00:00:00"/>
    <s v="Standard Class"/>
    <s v="Bruce Degenhardt"/>
    <s v="Richmond"/>
    <s v="Kentucky"/>
    <s v="South"/>
    <s v="Furniture"/>
    <s v="Chairs"/>
    <s v="Novimex High-Tech Fabric Mesh Task Chair"/>
    <n v="70.98"/>
    <n v="1"/>
    <n v="0"/>
    <n v="4.968599999999995"/>
  </r>
  <r>
    <n v="588"/>
    <s v="CA-2017-128139"/>
    <d v="2017-07-03T00:00:00"/>
    <s v="Standard Class"/>
    <s v="Bruce Degenhardt"/>
    <s v="Richmond"/>
    <s v="Kentucky"/>
    <s v="South"/>
    <s v="Office Supplies"/>
    <s v="Labels"/>
    <s v="Dot Matrix Printer Tape Reel Labels, White, 5000/Box"/>
    <n v="294.93"/>
    <n v="3"/>
    <n v="0"/>
    <n v="144.51570000000001"/>
  </r>
  <r>
    <n v="589"/>
    <s v="US-2018-156986"/>
    <d v="2018-03-20T00:00:00"/>
    <s v="Standard Class"/>
    <s v="Zuschuss Carroll"/>
    <s v="Salem"/>
    <s v="Oregon"/>
    <s v="West"/>
    <s v="Technology"/>
    <s v="Phones"/>
    <s v="i.Sound Portable Power - 8000 mAh"/>
    <n v="84.784000000000006"/>
    <n v="2"/>
    <n v="0.2"/>
    <n v="-20.136200000000006"/>
  </r>
  <r>
    <n v="590"/>
    <s v="US-2018-156986"/>
    <d v="2018-03-20T00:00:00"/>
    <s v="Standard Class"/>
    <s v="Zuschuss Carroll"/>
    <s v="Salem"/>
    <s v="Oregon"/>
    <s v="West"/>
    <s v="Office Supplies"/>
    <s v="Paper"/>
    <s v="Xerox 225"/>
    <n v="20.736000000000004"/>
    <n v="4"/>
    <n v="0.2"/>
    <n v="7.2576000000000001"/>
  </r>
  <r>
    <n v="591"/>
    <s v="US-2018-156986"/>
    <d v="2018-03-20T00:00:00"/>
    <s v="Standard Class"/>
    <s v="Zuschuss Carroll"/>
    <s v="Salem"/>
    <s v="Oregon"/>
    <s v="West"/>
    <s v="Office Supplies"/>
    <s v="Binders"/>
    <s v="Clear Mylar Reinforcing Strips"/>
    <n v="16.821000000000005"/>
    <n v="3"/>
    <n v="0.7"/>
    <n v="-12.896100000000004"/>
  </r>
  <r>
    <n v="592"/>
    <s v="US-2018-156986"/>
    <d v="2018-03-20T00:00:00"/>
    <s v="Standard Class"/>
    <s v="Zuschuss Carroll"/>
    <s v="Salem"/>
    <s v="Oregon"/>
    <s v="West"/>
    <s v="Office Supplies"/>
    <s v="Paper"/>
    <s v="Xerox 1894"/>
    <n v="10.368000000000002"/>
    <n v="2"/>
    <n v="0.2"/>
    <n v="3.6288"/>
  </r>
  <r>
    <n v="593"/>
    <s v="CA-2016-135405"/>
    <d v="2016-01-09T00:00:00"/>
    <s v="Standard Class"/>
    <s v="Melanie Seite"/>
    <s v="Laredo"/>
    <s v="Texas"/>
    <s v="Central"/>
    <s v="Office Supplies"/>
    <s v="Art"/>
    <s v="Newell 312"/>
    <n v="9.3439999999999994"/>
    <n v="2"/>
    <n v="0.2"/>
    <n v="1.1679999999999997"/>
  </r>
  <r>
    <n v="594"/>
    <s v="CA-2016-135405"/>
    <d v="2016-01-09T00:00:00"/>
    <s v="Standard Class"/>
    <s v="Melanie Seite"/>
    <s v="Laredo"/>
    <s v="Texas"/>
    <s v="Central"/>
    <s v="Technology"/>
    <s v="Accessories"/>
    <s v="Memorex Micro Travel Drive 8 GB"/>
    <n v="31.200000000000003"/>
    <n v="3"/>
    <n v="0.2"/>
    <n v="9.7499999999999964"/>
  </r>
  <r>
    <n v="595"/>
    <s v="CA-2016-131450"/>
    <d v="2016-08-08T00:00:00"/>
    <s v="Standard Class"/>
    <s v="Lena Radford"/>
    <s v="San Diego"/>
    <s v="California"/>
    <s v="West"/>
    <s v="Office Supplies"/>
    <s v="Appliances"/>
    <s v="Fellowes Superior 10 Outlet Split Surge Protector"/>
    <n v="76.12"/>
    <n v="2"/>
    <n v="0"/>
    <n v="22.074799999999996"/>
  </r>
  <r>
    <n v="596"/>
    <s v="CA-2016-131450"/>
    <d v="2016-08-08T00:00:00"/>
    <s v="Standard Class"/>
    <s v="Lena Radford"/>
    <s v="San Diego"/>
    <s v="California"/>
    <s v="West"/>
    <s v="Technology"/>
    <s v="Copiers"/>
    <s v="Sharp AL-1530CS Digital Copier"/>
    <n v="1199.9760000000001"/>
    <n v="3"/>
    <n v="0.2"/>
    <n v="434.99130000000002"/>
  </r>
  <r>
    <n v="597"/>
    <s v="CA-2016-131450"/>
    <d v="2016-08-08T00:00:00"/>
    <s v="Standard Class"/>
    <s v="Lena Radford"/>
    <s v="San Diego"/>
    <s v="California"/>
    <s v="West"/>
    <s v="Technology"/>
    <s v="Phones"/>
    <s v="AT&amp;T 1070 Corded Phone"/>
    <n v="445.96000000000004"/>
    <n v="5"/>
    <n v="0.2"/>
    <n v="55.744999999999948"/>
  </r>
  <r>
    <n v="598"/>
    <s v="CA-2016-131450"/>
    <d v="2016-08-08T00:00:00"/>
    <s v="Standard Class"/>
    <s v="Lena Radford"/>
    <s v="San Diego"/>
    <s v="California"/>
    <s v="West"/>
    <s v="Furniture"/>
    <s v="Furnishings"/>
    <s v="Dana Halogen Swing-Arm Architect Lamp"/>
    <n v="327.76"/>
    <n v="8"/>
    <n v="0"/>
    <n v="91.772800000000018"/>
  </r>
  <r>
    <n v="599"/>
    <s v="CA-2018-120180"/>
    <d v="2018-07-14T00:00:00"/>
    <s v="First Class"/>
    <s v="Theone Pippenger"/>
    <s v="Philadelphia"/>
    <s v="Pennsylvania"/>
    <s v="East"/>
    <s v="Office Supplies"/>
    <s v="Supplies"/>
    <s v="Acme Stainless Steel Office Snips"/>
    <n v="11.632"/>
    <n v="2"/>
    <n v="0.2"/>
    <n v="1.0178000000000007"/>
  </r>
  <r>
    <n v="600"/>
    <s v="US-2018-100720"/>
    <d v="2018-07-16T00:00:00"/>
    <s v="Standard Class"/>
    <s v="Chloris Kastensmidt"/>
    <s v="Philadelphia"/>
    <s v="Pennsylvania"/>
    <s v="East"/>
    <s v="Technology"/>
    <s v="Phones"/>
    <s v="Mophie Juice Pack Helium for iPhone"/>
    <n v="143.98199999999997"/>
    <n v="3"/>
    <n v="0.4"/>
    <n v="-28.796400000000006"/>
  </r>
  <r>
    <n v="601"/>
    <s v="US-2018-100720"/>
    <d v="2018-07-16T00:00:00"/>
    <s v="Standard Class"/>
    <s v="Chloris Kastensmidt"/>
    <s v="Philadelphia"/>
    <s v="Pennsylvania"/>
    <s v="East"/>
    <s v="Technology"/>
    <s v="Phones"/>
    <s v="GE 2-Jack Phone Line Splitter"/>
    <n v="494.37599999999998"/>
    <n v="4"/>
    <n v="0.4"/>
    <n v="-115.35440000000006"/>
  </r>
  <r>
    <n v="602"/>
    <s v="US-2018-100720"/>
    <d v="2018-07-16T00:00:00"/>
    <s v="Standard Class"/>
    <s v="Chloris Kastensmidt"/>
    <s v="Philadelphia"/>
    <s v="Pennsylvania"/>
    <s v="East"/>
    <s v="Office Supplies"/>
    <s v="Supplies"/>
    <s v="Acme Value Line Scissors"/>
    <n v="5.84"/>
    <n v="2"/>
    <n v="0.2"/>
    <n v="0.72999999999999954"/>
  </r>
  <r>
    <n v="603"/>
    <s v="CA-2016-149958"/>
    <d v="2016-03-15T00:00:00"/>
    <s v="Standard Class"/>
    <s v="Alan Shonely"/>
    <s v="Tampa"/>
    <s v="Florida"/>
    <s v="South"/>
    <s v="Office Supplies"/>
    <s v="Storage"/>
    <s v="Hot File 7-Pocket, Floor Stand"/>
    <n v="142.77600000000001"/>
    <n v="1"/>
    <n v="0.2"/>
    <n v="17.84699999999998"/>
  </r>
  <r>
    <n v="604"/>
    <s v="CA-2016-149958"/>
    <d v="2016-03-15T00:00:00"/>
    <s v="Standard Class"/>
    <s v="Alan Shonely"/>
    <s v="Tampa"/>
    <s v="Florida"/>
    <s v="South"/>
    <s v="Furniture"/>
    <s v="Furnishings"/>
    <s v="Eldon Expressions Desk Accessory, Wood Photo Frame, Mahogany"/>
    <n v="45.695999999999998"/>
    <n v="3"/>
    <n v="0.2"/>
    <n v="5.1407999999999916"/>
  </r>
  <r>
    <n v="605"/>
    <s v="CA-2016-149958"/>
    <d v="2016-03-15T00:00:00"/>
    <s v="Standard Class"/>
    <s v="Alan Shonely"/>
    <s v="Tampa"/>
    <s v="Florida"/>
    <s v="South"/>
    <s v="Office Supplies"/>
    <s v="Binders"/>
    <s v="Insertable Tab Post Binder Dividers"/>
    <n v="7.218"/>
    <n v="3"/>
    <n v="0.7"/>
    <n v="-5.5338000000000012"/>
  </r>
  <r>
    <n v="606"/>
    <s v="CA-2016-149958"/>
    <d v="2016-03-15T00:00:00"/>
    <s v="Standard Class"/>
    <s v="Alan Shonely"/>
    <s v="Tampa"/>
    <s v="Florida"/>
    <s v="South"/>
    <s v="Office Supplies"/>
    <s v="Binders"/>
    <s v="GBC VeloBinder Manual Binding System"/>
    <n v="43.188000000000009"/>
    <n v="4"/>
    <n v="0.7"/>
    <n v="-31.671199999999999"/>
  </r>
  <r>
    <n v="607"/>
    <s v="CA-2016-149958"/>
    <d v="2016-03-15T00:00:00"/>
    <s v="Standard Class"/>
    <s v="Alan Shonely"/>
    <s v="Tampa"/>
    <s v="Florida"/>
    <s v="South"/>
    <s v="Office Supplies"/>
    <s v="Paper"/>
    <s v="Xerox 1889"/>
    <n v="131.904"/>
    <n v="3"/>
    <n v="0.2"/>
    <n v="47.815200000000004"/>
  </r>
  <r>
    <n v="608"/>
    <s v="US-2016-105767"/>
    <d v="2016-05-23T00:00:00"/>
    <s v="Standard Class"/>
    <s v="Andrew Roberts"/>
    <s v="Philadelphia"/>
    <s v="Pennsylvania"/>
    <s v="East"/>
    <s v="Office Supplies"/>
    <s v="Binders"/>
    <s v="Angle-D Ring Binders"/>
    <n v="3.2820000000000005"/>
    <n v="2"/>
    <n v="0.7"/>
    <n v="-2.6256000000000004"/>
  </r>
  <r>
    <n v="609"/>
    <s v="US-2016-105767"/>
    <d v="2016-05-23T00:00:00"/>
    <s v="Standard Class"/>
    <s v="Andrew Roberts"/>
    <s v="Philadelphia"/>
    <s v="Pennsylvania"/>
    <s v="East"/>
    <s v="Office Supplies"/>
    <s v="Art"/>
    <s v="Newell 317"/>
    <n v="21.167999999999999"/>
    <n v="9"/>
    <n v="0.2"/>
    <n v="2.3813999999999984"/>
  </r>
  <r>
    <n v="610"/>
    <s v="US-2016-105767"/>
    <d v="2016-05-23T00:00:00"/>
    <s v="Standard Class"/>
    <s v="Andrew Roberts"/>
    <s v="Philadelphia"/>
    <s v="Pennsylvania"/>
    <s v="East"/>
    <s v="Technology"/>
    <s v="Phones"/>
    <s v="Motorola L804"/>
    <n v="55.188000000000002"/>
    <n v="2"/>
    <n v="0.4"/>
    <n v="-10.117800000000003"/>
  </r>
  <r>
    <n v="611"/>
    <s v="CA-2018-161816"/>
    <d v="2018-04-28T00:00:00"/>
    <s v="First Class"/>
    <s v="Nona Balk"/>
    <s v="Dallas"/>
    <s v="Texas"/>
    <s v="Central"/>
    <s v="Technology"/>
    <s v="Phones"/>
    <s v="Nortel Meridian M3904 Professional Digital phone"/>
    <n v="369.57600000000002"/>
    <n v="3"/>
    <n v="0.2"/>
    <n v="41.577299999999951"/>
  </r>
  <r>
    <n v="612"/>
    <s v="CA-2018-161816"/>
    <d v="2018-04-28T00:00:00"/>
    <s v="First Class"/>
    <s v="Nona Balk"/>
    <s v="Dallas"/>
    <s v="Texas"/>
    <s v="Central"/>
    <s v="Office Supplies"/>
    <s v="Labels"/>
    <s v="Avery 493"/>
    <n v="15.712000000000002"/>
    <n v="4"/>
    <n v="0.2"/>
    <n v="5.6955999999999989"/>
  </r>
  <r>
    <n v="613"/>
    <s v="CA-2018-121223"/>
    <d v="2018-09-11T00:00:00"/>
    <s v="Second Class"/>
    <s v="Giulietta Dortch"/>
    <s v="Philadelphia"/>
    <s v="Pennsylvania"/>
    <s v="East"/>
    <s v="Office Supplies"/>
    <s v="Paper"/>
    <s v="Xerox 1972"/>
    <n v="8.4480000000000004"/>
    <n v="2"/>
    <n v="0.2"/>
    <n v="2.6399999999999997"/>
  </r>
  <r>
    <n v="614"/>
    <s v="CA-2018-121223"/>
    <d v="2018-09-11T00:00:00"/>
    <s v="Second Class"/>
    <s v="Giulietta Dortch"/>
    <s v="Philadelphia"/>
    <s v="Pennsylvania"/>
    <s v="East"/>
    <s v="Technology"/>
    <s v="Phones"/>
    <s v="Cisco 8x8 Inc. 6753i IP Business Phone System"/>
    <n v="728.94600000000003"/>
    <n v="9"/>
    <n v="0.4"/>
    <n v="-157.93830000000008"/>
  </r>
  <r>
    <n v="615"/>
    <s v="CA-2019-138611"/>
    <d v="2019-11-14T00:00:00"/>
    <s v="Second Class"/>
    <s v="Clytie Kelty"/>
    <s v="Grove City"/>
    <s v="Ohio"/>
    <s v="East"/>
    <s v="Technology"/>
    <s v="Phones"/>
    <s v="PureGear Roll-On Screen Protector"/>
    <n v="119.93999999999998"/>
    <n v="10"/>
    <n v="0.4"/>
    <n v="15.99199999999999"/>
  </r>
  <r>
    <n v="616"/>
    <s v="CA-2019-138611"/>
    <d v="2019-11-14T00:00:00"/>
    <s v="Second Class"/>
    <s v="Clytie Kelty"/>
    <s v="Grove City"/>
    <s v="Ohio"/>
    <s v="East"/>
    <s v="Office Supplies"/>
    <s v="Binders"/>
    <s v="Prestige Round Ring Binders"/>
    <n v="3.6480000000000006"/>
    <n v="2"/>
    <n v="0.7"/>
    <n v="-2.7967999999999993"/>
  </r>
  <r>
    <n v="617"/>
    <s v="CA-2019-117947"/>
    <d v="2019-08-18T00:00:00"/>
    <s v="Second Class"/>
    <s v="Nat Gilpin"/>
    <s v="New York City"/>
    <s v="New York"/>
    <s v="East"/>
    <s v="Furniture"/>
    <s v="Furnishings"/>
    <s v="DAX Metal Frame, Desktop, Stepped-Edge"/>
    <n v="40.479999999999997"/>
    <n v="2"/>
    <n v="0"/>
    <n v="15.787199999999999"/>
  </r>
  <r>
    <n v="618"/>
    <s v="CA-2019-117947"/>
    <d v="2019-08-18T00:00:00"/>
    <s v="Second Class"/>
    <s v="Nat Gilpin"/>
    <s v="New York City"/>
    <s v="New York"/>
    <s v="East"/>
    <s v="Furniture"/>
    <s v="Furnishings"/>
    <s v="DAX Value U-Channel Document Frames, Easel Back"/>
    <n v="9.94"/>
    <n v="2"/>
    <n v="0"/>
    <n v="3.0813999999999995"/>
  </r>
  <r>
    <n v="619"/>
    <s v="CA-2019-117947"/>
    <d v="2019-08-18T00:00:00"/>
    <s v="Second Class"/>
    <s v="Nat Gilpin"/>
    <s v="New York City"/>
    <s v="New York"/>
    <s v="East"/>
    <s v="Office Supplies"/>
    <s v="Binders"/>
    <s v="Recycled Easel Ring Binders"/>
    <n v="107.42400000000001"/>
    <n v="9"/>
    <n v="0.2"/>
    <n v="33.569999999999986"/>
  </r>
  <r>
    <n v="620"/>
    <s v="CA-2019-117947"/>
    <d v="2019-08-18T00:00:00"/>
    <s v="Second Class"/>
    <s v="Nat Gilpin"/>
    <s v="New York City"/>
    <s v="New York"/>
    <s v="East"/>
    <s v="Technology"/>
    <s v="Phones"/>
    <s v="Grandstream GXP1160 VoIP phone"/>
    <n v="37.909999999999997"/>
    <n v="1"/>
    <n v="0"/>
    <n v="10.993899999999996"/>
  </r>
  <r>
    <n v="621"/>
    <s v="CA-2019-117947"/>
    <d v="2019-08-18T00:00:00"/>
    <s v="Second Class"/>
    <s v="Nat Gilpin"/>
    <s v="New York City"/>
    <s v="New York"/>
    <s v="East"/>
    <s v="Furniture"/>
    <s v="Furnishings"/>
    <s v="Seth Thomas 14&quot; Putty-Colored Wall Clock"/>
    <n v="88.02"/>
    <n v="3"/>
    <n v="0"/>
    <n v="27.286199999999994"/>
  </r>
  <r>
    <n v="622"/>
    <s v="US-2016-111171"/>
    <d v="2016-12-26T00:00:00"/>
    <s v="Standard Class"/>
    <s v="Christina Anderson"/>
    <s v="Chicago"/>
    <s v="Illinois"/>
    <s v="Central"/>
    <s v="Office Supplies"/>
    <s v="Binders"/>
    <s v="Cardinal Slant-D Ring Binder, Heavy Gauge Vinyl"/>
    <n v="8.6899999999999977"/>
    <n v="5"/>
    <n v="0.8"/>
    <n v="-14.773"/>
  </r>
  <r>
    <n v="623"/>
    <s v="CA-2017-138009"/>
    <d v="2017-11-29T00:00:00"/>
    <s v="Standard Class"/>
    <s v="Sylvia Foulston"/>
    <s v="Dearborn"/>
    <s v="Michigan"/>
    <s v="Central"/>
    <s v="Furniture"/>
    <s v="Chairs"/>
    <s v="Global Manager's Adjustable Task Chair, Storm"/>
    <n v="301.95999999999998"/>
    <n v="2"/>
    <n v="0"/>
    <n v="87.568399999999968"/>
  </r>
  <r>
    <n v="624"/>
    <s v="CA-2017-138009"/>
    <d v="2017-11-29T00:00:00"/>
    <s v="Standard Class"/>
    <s v="Sylvia Foulston"/>
    <s v="Dearborn"/>
    <s v="Michigan"/>
    <s v="Central"/>
    <s v="Office Supplies"/>
    <s v="Appliances"/>
    <s v="Honeywell Enviracaire Portable HEPA Air Cleaner for up to 10 x 16 Room"/>
    <n v="555.21"/>
    <n v="5"/>
    <n v="0.1"/>
    <n v="178.90100000000001"/>
  </r>
  <r>
    <n v="625"/>
    <s v="CA-2017-138009"/>
    <d v="2017-11-29T00:00:00"/>
    <s v="Standard Class"/>
    <s v="Sylvia Foulston"/>
    <s v="Dearborn"/>
    <s v="Michigan"/>
    <s v="Central"/>
    <s v="Office Supplies"/>
    <s v="Storage"/>
    <s v="Mini 13-1/2 Capacity Data Binder Rack, Pearl"/>
    <n v="523.48"/>
    <n v="4"/>
    <n v="0"/>
    <n v="130.87"/>
  </r>
  <r>
    <n v="626"/>
    <s v="CA-2017-138009"/>
    <d v="2017-11-29T00:00:00"/>
    <s v="Standard Class"/>
    <s v="Sylvia Foulston"/>
    <s v="Dearborn"/>
    <s v="Michigan"/>
    <s v="Central"/>
    <s v="Office Supplies"/>
    <s v="Art"/>
    <s v="BOSTON Model 1800 Electric Pencil Sharpeners, Putty/Woodgrain"/>
    <n v="161.82"/>
    <n v="9"/>
    <n v="0"/>
    <n v="46.927799999999984"/>
  </r>
  <r>
    <n v="627"/>
    <s v="CA-2019-163020"/>
    <d v="2019-09-15T00:00:00"/>
    <s v="Standard Class"/>
    <s v="Meg O'Connel"/>
    <s v="New York City"/>
    <s v="New York"/>
    <s v="East"/>
    <s v="Furniture"/>
    <s v="Furnishings"/>
    <s v="Master Caster Door Stop, Brown"/>
    <n v="35.56"/>
    <n v="7"/>
    <n v="0"/>
    <n v="12.090399999999999"/>
  </r>
  <r>
    <n v="628"/>
    <s v="CA-2019-153787"/>
    <d v="2019-05-19T00:00:00"/>
    <s v="Standard Class"/>
    <s v="Annie Thurman"/>
    <s v="Seattle"/>
    <s v="Washington"/>
    <s v="West"/>
    <s v="Office Supplies"/>
    <s v="Appliances"/>
    <s v="Belkin Premiere Surge Master II 8-outlet surge protector"/>
    <n v="97.16"/>
    <n v="2"/>
    <n v="0"/>
    <n v="28.176399999999987"/>
  </r>
  <r>
    <n v="629"/>
    <s v="CA-2019-133431"/>
    <d v="2019-12-17T00:00:00"/>
    <s v="Standard Class"/>
    <s v="Logan Currie"/>
    <s v="San Francisco"/>
    <s v="California"/>
    <s v="West"/>
    <s v="Office Supplies"/>
    <s v="Binders"/>
    <s v="Acco Pressboard Covers with Storage Hooks, 9 1/2&quot; x 11&quot;, Executive Red"/>
    <n v="15.24"/>
    <n v="5"/>
    <n v="0.2"/>
    <n v="5.1434999999999977"/>
  </r>
  <r>
    <n v="630"/>
    <s v="CA-2019-133431"/>
    <d v="2019-12-17T00:00:00"/>
    <s v="Standard Class"/>
    <s v="Logan Currie"/>
    <s v="San Francisco"/>
    <s v="California"/>
    <s v="West"/>
    <s v="Office Supplies"/>
    <s v="Paper"/>
    <s v="Ampad Gold Fibre Wirebound Steno Books, 6&quot; x 9&quot;, Gregg Ruled"/>
    <n v="13.23"/>
    <n v="3"/>
    <n v="0"/>
    <n v="6.0857999999999999"/>
  </r>
  <r>
    <n v="631"/>
    <s v="US-2018-135720"/>
    <d v="2018-12-11T00:00:00"/>
    <s v="Second Class"/>
    <s v="Fred McMath"/>
    <s v="Aurora"/>
    <s v="Colorado"/>
    <s v="West"/>
    <s v="Office Supplies"/>
    <s v="Storage"/>
    <s v="Tennsco Regal Shelving Units"/>
    <n v="243.38400000000001"/>
    <n v="3"/>
    <n v="0.2"/>
    <n v="-51.719100000000012"/>
  </r>
  <r>
    <n v="632"/>
    <s v="US-2018-135720"/>
    <d v="2018-12-11T00:00:00"/>
    <s v="Second Class"/>
    <s v="Fred McMath"/>
    <s v="Aurora"/>
    <s v="Colorado"/>
    <s v="West"/>
    <s v="Technology"/>
    <s v="Accessories"/>
    <s v="Imation 32GB Pocket Pro USB 3.0 Flash Drive - 32 GB - Black - 1 P ..."/>
    <n v="119.80000000000001"/>
    <n v="5"/>
    <n v="0.2"/>
    <n v="29.950000000000003"/>
  </r>
  <r>
    <n v="633"/>
    <s v="US-2018-135720"/>
    <d v="2018-12-11T00:00:00"/>
    <s v="Second Class"/>
    <s v="Fred McMath"/>
    <s v="Aurora"/>
    <s v="Colorado"/>
    <s v="West"/>
    <s v="Technology"/>
    <s v="Phones"/>
    <s v="Jabra SPEAK 410"/>
    <n v="300.76799999999997"/>
    <n v="4"/>
    <n v="0.2"/>
    <n v="30.076800000000006"/>
  </r>
  <r>
    <n v="634"/>
    <s v="CA-2019-144694"/>
    <d v="2019-09-24T00:00:00"/>
    <s v="Second Class"/>
    <s v="Brian Dahlen"/>
    <s v="Miami"/>
    <s v="Florida"/>
    <s v="South"/>
    <s v="Technology"/>
    <s v="Accessories"/>
    <s v="Verbatim 25 GB 6x Blu-ray Single Layer Recordable Disc, 1/Pack"/>
    <n v="17.880000000000003"/>
    <n v="3"/>
    <n v="0.2"/>
    <n v="2.458499999999999"/>
  </r>
  <r>
    <n v="635"/>
    <s v="CA-2019-144694"/>
    <d v="2019-09-24T00:00:00"/>
    <s v="Second Class"/>
    <s v="Brian Dahlen"/>
    <s v="Miami"/>
    <s v="Florida"/>
    <s v="South"/>
    <s v="Office Supplies"/>
    <s v="Labels"/>
    <s v="Dot Matrix Printer Tape Reel Labels, White, 5000/Box"/>
    <n v="235.94400000000002"/>
    <n v="3"/>
    <n v="0.2"/>
    <n v="85.529700000000005"/>
  </r>
  <r>
    <n v="636"/>
    <s v="CA-2017-168004"/>
    <d v="2017-10-04T00:00:00"/>
    <s v="Second Class"/>
    <s v="Denny Joy"/>
    <s v="Warner Robins"/>
    <s v="Georgia"/>
    <s v="South"/>
    <s v="Furniture"/>
    <s v="Chairs"/>
    <s v="Office Star - Mesh Screen back chair with Vinyl seat"/>
    <n v="392.93999999999994"/>
    <n v="3"/>
    <n v="0"/>
    <n v="43.223399999999984"/>
  </r>
  <r>
    <n v="637"/>
    <s v="US-2018-123470"/>
    <d v="2018-08-15T00:00:00"/>
    <s v="Standard Class"/>
    <s v="Max Engle"/>
    <s v="Aurora"/>
    <s v="Colorado"/>
    <s v="West"/>
    <s v="Office Supplies"/>
    <s v="Binders"/>
    <s v="Premium Transparent Presentation Covers by GBC"/>
    <n v="18.882000000000005"/>
    <n v="3"/>
    <n v="0.7"/>
    <n v="-13.846800000000002"/>
  </r>
  <r>
    <n v="638"/>
    <s v="US-2018-123470"/>
    <d v="2018-08-15T00:00:00"/>
    <s v="Standard Class"/>
    <s v="Max Engle"/>
    <s v="Aurora"/>
    <s v="Colorado"/>
    <s v="West"/>
    <s v="Office Supplies"/>
    <s v="Appliances"/>
    <s v="Tripp Lite TLP810NET Broadband Surge for Modem/Fax"/>
    <n v="122.328"/>
    <n v="3"/>
    <n v="0.2"/>
    <n v="12.232799999999997"/>
  </r>
  <r>
    <n v="639"/>
    <s v="CA-2018-115917"/>
    <d v="2018-05-20T00:00:00"/>
    <s v="Standard Class"/>
    <s v="Rick Bensley"/>
    <s v="Vallejo"/>
    <s v="California"/>
    <s v="West"/>
    <s v="Furniture"/>
    <s v="Furnishings"/>
    <s v="Luxo Professional Fluorescent Magnifier Lamp with Clamp-Mount Base"/>
    <n v="1049.2"/>
    <n v="5"/>
    <n v="0"/>
    <n v="272.79200000000003"/>
  </r>
  <r>
    <n v="640"/>
    <s v="CA-2018-115917"/>
    <d v="2018-05-20T00:00:00"/>
    <s v="Standard Class"/>
    <s v="Rick Bensley"/>
    <s v="Vallejo"/>
    <s v="California"/>
    <s v="West"/>
    <s v="Office Supplies"/>
    <s v="Binders"/>
    <s v="Wilson Jones Turn Tabs Binder Tool for Ring Binders"/>
    <n v="15.424000000000001"/>
    <n v="4"/>
    <n v="0.2"/>
    <n v="5.0128000000000004"/>
  </r>
  <r>
    <n v="641"/>
    <s v="CA-2018-147067"/>
    <d v="2018-12-18T00:00:00"/>
    <s v="Standard Class"/>
    <s v="Justin Deggeller"/>
    <s v="Minneapolis"/>
    <s v="Minnesota"/>
    <s v="Central"/>
    <s v="Furniture"/>
    <s v="Furnishings"/>
    <s v="Eldon 200 Class Desk Accessories"/>
    <n v="18.84"/>
    <n v="3"/>
    <n v="0"/>
    <n v="6.0287999999999995"/>
  </r>
  <r>
    <n v="642"/>
    <s v="CA-2019-167913"/>
    <d v="2019-07-30T00:00:00"/>
    <s v="Second Class"/>
    <s v="John Lee"/>
    <s v="Mission Viejo"/>
    <s v="California"/>
    <s v="West"/>
    <s v="Office Supplies"/>
    <s v="Storage"/>
    <s v="Economy Rollaway Files"/>
    <n v="330.4"/>
    <n v="2"/>
    <n v="0"/>
    <n v="85.903999999999996"/>
  </r>
  <r>
    <n v="643"/>
    <s v="CA-2019-167913"/>
    <d v="2019-07-30T00:00:00"/>
    <s v="Second Class"/>
    <s v="John Lee"/>
    <s v="Mission Viejo"/>
    <s v="California"/>
    <s v="West"/>
    <s v="Office Supplies"/>
    <s v="Labels"/>
    <s v="Avery 480"/>
    <n v="26.25"/>
    <n v="7"/>
    <n v="0"/>
    <n v="12.599999999999998"/>
  </r>
  <r>
    <n v="644"/>
    <s v="CA-2019-106103"/>
    <d v="2019-06-10T00:00:00"/>
    <s v="Standard Class"/>
    <s v="Sean Christensen"/>
    <s v="Rochester Hills"/>
    <s v="Michigan"/>
    <s v="Central"/>
    <s v="Technology"/>
    <s v="Accessories"/>
    <s v="Imation 16GB Mini TravelDrive USB 2.0 Flash Drive"/>
    <n v="132.52000000000001"/>
    <n v="4"/>
    <n v="0"/>
    <n v="54.333200000000005"/>
  </r>
  <r>
    <n v="645"/>
    <s v="US-2019-127719"/>
    <d v="2019-07-21T00:00:00"/>
    <s v="Standard Class"/>
    <s v="Tamara Willingham"/>
    <s v="Plainfield"/>
    <s v="New Jersey"/>
    <s v="East"/>
    <s v="Office Supplies"/>
    <s v="Paper"/>
    <s v="Xerox 1993"/>
    <n v="6.48"/>
    <n v="1"/>
    <n v="0"/>
    <n v="3.1752000000000002"/>
  </r>
  <r>
    <n v="646"/>
    <s v="CA-2019-126221"/>
    <d v="2019-12-30T00:00:00"/>
    <s v="Standard Class"/>
    <s v="Chuck Clark"/>
    <s v="Columbus"/>
    <s v="Indiana"/>
    <s v="Central"/>
    <s v="Office Supplies"/>
    <s v="Appliances"/>
    <s v="Eureka The Boss Plus 12-Amp Hard Box Upright Vacuum, Red"/>
    <n v="209.3"/>
    <n v="2"/>
    <n v="0"/>
    <n v="56.510999999999996"/>
  </r>
  <r>
    <n v="647"/>
    <s v="CA-2018-103947"/>
    <d v="2018-04-01T00:00:00"/>
    <s v="Standard Class"/>
    <s v="Barry Blumstein"/>
    <s v="Sierra Vista"/>
    <s v="Arizona"/>
    <s v="West"/>
    <s v="Office Supplies"/>
    <s v="Fasteners"/>
    <s v="Staples"/>
    <n v="31.560000000000002"/>
    <n v="5"/>
    <n v="0.2"/>
    <n v="9.8624999999999972"/>
  </r>
  <r>
    <n v="648"/>
    <s v="CA-2018-103947"/>
    <d v="2018-04-01T00:00:00"/>
    <s v="Standard Class"/>
    <s v="Barry Blumstein"/>
    <s v="Sierra Vista"/>
    <s v="Arizona"/>
    <s v="West"/>
    <s v="Office Supplies"/>
    <s v="Appliances"/>
    <s v="Belkin F9H710-06 7 Outlet SurgeMaster Surge Protector"/>
    <n v="30.144000000000002"/>
    <n v="2"/>
    <n v="0.2"/>
    <n v="3.0143999999999993"/>
  </r>
  <r>
    <n v="649"/>
    <s v="CA-2018-160745"/>
    <d v="2018-12-11T00:00:00"/>
    <s v="Second Class"/>
    <s v="Anthony Rawles"/>
    <s v="Vancouver"/>
    <s v="Washington"/>
    <s v="West"/>
    <s v="Furniture"/>
    <s v="Furnishings"/>
    <s v="3M Hangers With Command Adhesive"/>
    <n v="14.8"/>
    <n v="4"/>
    <n v="0"/>
    <n v="6.0680000000000014"/>
  </r>
  <r>
    <n v="650"/>
    <s v="CA-2018-160745"/>
    <d v="2018-12-11T00:00:00"/>
    <s v="Second Class"/>
    <s v="Anthony Rawles"/>
    <s v="Vancouver"/>
    <s v="Washington"/>
    <s v="West"/>
    <s v="Technology"/>
    <s v="Phones"/>
    <s v="AT&amp;T TR1909W"/>
    <n v="302.37599999999998"/>
    <n v="3"/>
    <n v="0.2"/>
    <n v="22.678200000000018"/>
  </r>
  <r>
    <n v="651"/>
    <s v="CA-2018-160745"/>
    <d v="2018-12-11T00:00:00"/>
    <s v="Second Class"/>
    <s v="Anthony Rawles"/>
    <s v="Vancouver"/>
    <s v="Washington"/>
    <s v="West"/>
    <s v="Technology"/>
    <s v="Accessories"/>
    <s v="First Data FD10 PIN Pad"/>
    <n v="316"/>
    <n v="4"/>
    <n v="0"/>
    <n v="31.599999999999966"/>
  </r>
  <r>
    <n v="652"/>
    <s v="CA-2018-132661"/>
    <d v="2018-10-23T00:00:00"/>
    <s v="Standard Class"/>
    <s v="Steven Roelle"/>
    <s v="New York City"/>
    <s v="New York"/>
    <s v="East"/>
    <s v="Office Supplies"/>
    <s v="Paper"/>
    <s v="Snap-A-Way Black Print Carbonless Ruled Speed Letter, Triplicate"/>
    <n v="379.4"/>
    <n v="10"/>
    <n v="0"/>
    <n v="178.31799999999998"/>
  </r>
  <r>
    <n v="653"/>
    <s v="CA-2019-140844"/>
    <d v="2019-06-19T00:00:00"/>
    <s v="Standard Class"/>
    <s v="Allen Rosenblatt"/>
    <s v="New York City"/>
    <s v="New York"/>
    <s v="East"/>
    <s v="Office Supplies"/>
    <s v="Paper"/>
    <s v="Xerox 1943"/>
    <n v="97.82"/>
    <n v="2"/>
    <n v="0"/>
    <n v="45.975399999999993"/>
  </r>
  <r>
    <n v="654"/>
    <s v="CA-2019-140844"/>
    <d v="2019-06-19T00:00:00"/>
    <s v="Standard Class"/>
    <s v="Allen Rosenblatt"/>
    <s v="New York City"/>
    <s v="New York"/>
    <s v="East"/>
    <s v="Technology"/>
    <s v="Accessories"/>
    <s v="Sony 16GB Class 10 Micro SDHC R40 Memory Card"/>
    <n v="103.12"/>
    <n v="8"/>
    <n v="0"/>
    <n v="10.311999999999998"/>
  </r>
  <r>
    <n v="655"/>
    <s v="CA-2018-137239"/>
    <d v="2018-08-22T00:00:00"/>
    <s v="Standard Class"/>
    <s v="Craig Reiter"/>
    <s v="Columbus"/>
    <s v="Ohio"/>
    <s v="East"/>
    <s v="Office Supplies"/>
    <s v="Appliances"/>
    <s v="Tripp Lite Isotel 8 Ultra 8 Outlet Metal Surge"/>
    <n v="113.55200000000001"/>
    <n v="2"/>
    <n v="0.2"/>
    <n v="8.5163999999999938"/>
  </r>
  <r>
    <n v="656"/>
    <s v="CA-2018-137239"/>
    <d v="2018-08-22T00:00:00"/>
    <s v="Standard Class"/>
    <s v="Craig Reiter"/>
    <s v="Columbus"/>
    <s v="Ohio"/>
    <s v="East"/>
    <s v="Office Supplies"/>
    <s v="Binders"/>
    <s v="Avery Durable Poly Binders"/>
    <n v="3.3180000000000005"/>
    <n v="2"/>
    <n v="0.7"/>
    <n v="-2.6543999999999999"/>
  </r>
  <r>
    <n v="657"/>
    <s v="CA-2018-137239"/>
    <d v="2018-08-22T00:00:00"/>
    <s v="Standard Class"/>
    <s v="Craig Reiter"/>
    <s v="Columbus"/>
    <s v="Ohio"/>
    <s v="East"/>
    <s v="Office Supplies"/>
    <s v="Envelopes"/>
    <s v="Airmail Envelopes"/>
    <n v="134.28800000000001"/>
    <n v="2"/>
    <n v="0.2"/>
    <n v="45.322199999999995"/>
  </r>
  <r>
    <n v="658"/>
    <s v="US-2018-156097"/>
    <d v="2018-09-19T00:00:00"/>
    <s v="Same Day"/>
    <s v="Eugene Hildebrand"/>
    <s v="Aurora"/>
    <s v="Illinois"/>
    <s v="Central"/>
    <s v="Furniture"/>
    <s v="Chairs"/>
    <s v="Global Troy Executive Leather Low-Back Tilter"/>
    <n v="701.37199999999996"/>
    <n v="2"/>
    <n v="0.3"/>
    <n v="-50.098000000000013"/>
  </r>
  <r>
    <n v="659"/>
    <s v="US-2018-156097"/>
    <d v="2018-09-19T00:00:00"/>
    <s v="Same Day"/>
    <s v="Eugene Hildebrand"/>
    <s v="Aurora"/>
    <s v="Illinois"/>
    <s v="Central"/>
    <s v="Office Supplies"/>
    <s v="Binders"/>
    <s v="Avery Binding System Hidden Tab Executive Style Index Sets"/>
    <n v="2.3079999999999994"/>
    <n v="2"/>
    <n v="0.8"/>
    <n v="-3.4619999999999997"/>
  </r>
  <r>
    <n v="660"/>
    <s v="CA-2017-146563"/>
    <d v="2017-08-24T00:00:00"/>
    <s v="Standard Class"/>
    <s v="Cassandra Brandow"/>
    <s v="Arlington"/>
    <s v="Texas"/>
    <s v="Central"/>
    <s v="Office Supplies"/>
    <s v="Storage"/>
    <s v="Hot File 7-Pocket, Floor Stand"/>
    <n v="999.43200000000002"/>
    <n v="7"/>
    <n v="0.2"/>
    <n v="124.92899999999986"/>
  </r>
  <r>
    <n v="661"/>
    <s v="CA-2017-146563"/>
    <d v="2017-08-24T00:00:00"/>
    <s v="Standard Class"/>
    <s v="Cassandra Brandow"/>
    <s v="Arlington"/>
    <s v="Texas"/>
    <s v="Central"/>
    <s v="Office Supplies"/>
    <s v="Storage"/>
    <s v="Space Solutions Commercial Steel Shelving"/>
    <n v="724.08"/>
    <n v="14"/>
    <n v="0.2"/>
    <n v="-135.7650000000001"/>
  </r>
  <r>
    <n v="662"/>
    <s v="CA-2017-146563"/>
    <d v="2017-08-24T00:00:00"/>
    <s v="Standard Class"/>
    <s v="Cassandra Brandow"/>
    <s v="Arlington"/>
    <s v="Texas"/>
    <s v="Central"/>
    <s v="Furniture"/>
    <s v="Tables"/>
    <s v="Hon Racetrack Conference Tables"/>
    <n v="918.78499999999985"/>
    <n v="5"/>
    <n v="0.3"/>
    <n v="-118.12950000000006"/>
  </r>
  <r>
    <n v="663"/>
    <s v="CA-2017-146563"/>
    <d v="2017-08-24T00:00:00"/>
    <s v="Standard Class"/>
    <s v="Cassandra Brandow"/>
    <s v="Arlington"/>
    <s v="Texas"/>
    <s v="Central"/>
    <s v="Office Supplies"/>
    <s v="Binders"/>
    <s v="Avery Durable Plastic 1&quot; Binders"/>
    <n v="2.7239999999999993"/>
    <n v="3"/>
    <n v="0.8"/>
    <n v="-4.2222000000000008"/>
  </r>
  <r>
    <n v="664"/>
    <s v="CA-2018-123666"/>
    <d v="2018-03-26T00:00:00"/>
    <s v="Standard Class"/>
    <s v="Sibella Parks"/>
    <s v="New York City"/>
    <s v="New York"/>
    <s v="East"/>
    <s v="Office Supplies"/>
    <s v="Storage"/>
    <s v="Gould Plastics 18-Pocket Panel Bin, 34w x 5-1/4d x 20-1/2h"/>
    <n v="459.95"/>
    <n v="5"/>
    <n v="0"/>
    <n v="18.397999999999968"/>
  </r>
  <r>
    <n v="665"/>
    <s v="CA-2018-143308"/>
    <d v="2018-11-04T00:00:00"/>
    <s v="Same Day"/>
    <s v="Roy Collins"/>
    <s v="Louisville"/>
    <s v="Kentucky"/>
    <s v="South"/>
    <s v="Office Supplies"/>
    <s v="Fasteners"/>
    <s v="OIC Colored Binder Clips, Assorted Sizes"/>
    <n v="10.74"/>
    <n v="3"/>
    <n v="0"/>
    <n v="5.2625999999999999"/>
  </r>
  <r>
    <n v="666"/>
    <s v="CA-2019-132682"/>
    <d v="2019-06-08T00:00:00"/>
    <s v="Second Class"/>
    <s v="Tiffany House"/>
    <s v="Dallas"/>
    <s v="Texas"/>
    <s v="Central"/>
    <s v="Office Supplies"/>
    <s v="Supplies"/>
    <s v="Acme Tagit Stainless Steel Antibacterial Scissors"/>
    <n v="23.76"/>
    <n v="3"/>
    <n v="0.2"/>
    <n v="2.0789999999999997"/>
  </r>
  <r>
    <n v="667"/>
    <s v="CA-2019-132682"/>
    <d v="2019-06-08T00:00:00"/>
    <s v="Second Class"/>
    <s v="Tiffany House"/>
    <s v="Dallas"/>
    <s v="Texas"/>
    <s v="Central"/>
    <s v="Office Supplies"/>
    <s v="Paper"/>
    <s v="Easy-staple paper"/>
    <n v="85.055999999999997"/>
    <n v="3"/>
    <n v="0.2"/>
    <n v="28.706399999999991"/>
  </r>
  <r>
    <n v="668"/>
    <s v="CA-2019-132682"/>
    <d v="2019-06-08T00:00:00"/>
    <s v="Second Class"/>
    <s v="Tiffany House"/>
    <s v="Dallas"/>
    <s v="Texas"/>
    <s v="Central"/>
    <s v="Technology"/>
    <s v="Phones"/>
    <s v="ClearOne Communications CHAT 70 OC Speaker Phone"/>
    <n v="381.57600000000002"/>
    <n v="3"/>
    <n v="0.2"/>
    <n v="28.618200000000002"/>
  </r>
  <r>
    <n v="669"/>
    <s v="CA-2016-156314"/>
    <d v="2016-12-24T00:00:00"/>
    <s v="First Class"/>
    <s v="Resi Pölking"/>
    <s v="Cleveland"/>
    <s v="Ohio"/>
    <s v="East"/>
    <s v="Furniture"/>
    <s v="Furnishings"/>
    <s v="Master Giant Foot Doorstop, Safety Yellow"/>
    <n v="30.36"/>
    <n v="5"/>
    <n v="0.2"/>
    <n v="8.7285000000000004"/>
  </r>
  <r>
    <n v="670"/>
    <s v="US-2019-106663"/>
    <d v="2019-06-09T00:00:00"/>
    <s v="Standard Class"/>
    <s v="Meg O'Connel"/>
    <s v="Chicago"/>
    <s v="Illinois"/>
    <s v="Central"/>
    <s v="Furniture"/>
    <s v="Furnishings"/>
    <s v="12-1/2 Diameter Round Wall Clock"/>
    <n v="23.976000000000003"/>
    <n v="3"/>
    <n v="0.6"/>
    <n v="-14.385599999999997"/>
  </r>
  <r>
    <n v="671"/>
    <s v="US-2019-106663"/>
    <d v="2019-06-09T00:00:00"/>
    <s v="Standard Class"/>
    <s v="Meg O'Connel"/>
    <s v="Chicago"/>
    <s v="Illinois"/>
    <s v="Central"/>
    <s v="Furniture"/>
    <s v="Tables"/>
    <s v="Chromcraft Bull-Nose Wood Round Conference Table Top, Wood Base"/>
    <n v="108.925"/>
    <n v="1"/>
    <n v="0.5"/>
    <n v="-71.890500000000017"/>
  </r>
  <r>
    <n v="672"/>
    <s v="US-2019-106663"/>
    <d v="2019-06-09T00:00:00"/>
    <s v="Standard Class"/>
    <s v="Meg O'Connel"/>
    <s v="Chicago"/>
    <s v="Illinois"/>
    <s v="Central"/>
    <s v="Office Supplies"/>
    <s v="Paper"/>
    <s v="Adams Telephone Message Book W/Dividers/Space For Phone Numbers, 5 1/4&quot;X8 1/2&quot;, 200/Messages"/>
    <n v="36.351999999999997"/>
    <n v="8"/>
    <n v="0.2"/>
    <n v="11.359999999999998"/>
  </r>
  <r>
    <n v="673"/>
    <s v="CA-2019-111178"/>
    <d v="2019-06-15T00:00:00"/>
    <s v="Standard Class"/>
    <s v="Tamara Dahlen"/>
    <s v="Quincy"/>
    <s v="Illinois"/>
    <s v="Central"/>
    <s v="Office Supplies"/>
    <s v="Art"/>
    <s v="Newell 331"/>
    <n v="19.559999999999999"/>
    <n v="5"/>
    <n v="0.2"/>
    <n v="1.7115"/>
  </r>
  <r>
    <n v="674"/>
    <s v="CA-2019-130351"/>
    <d v="2019-12-05T00:00:00"/>
    <s v="First Class"/>
    <s v="Rob Beeghly"/>
    <s v="Columbus"/>
    <s v="Indiana"/>
    <s v="Central"/>
    <s v="Office Supplies"/>
    <s v="Appliances"/>
    <s v="Kensington 6 Outlet Guardian Standard Surge Protector"/>
    <n v="61.44"/>
    <n v="3"/>
    <n v="0"/>
    <n v="16.588799999999999"/>
  </r>
  <r>
    <n v="675"/>
    <s v="CA-2019-130351"/>
    <d v="2019-12-05T00:00:00"/>
    <s v="First Class"/>
    <s v="Rob Beeghly"/>
    <s v="Columbus"/>
    <s v="Indiana"/>
    <s v="Central"/>
    <s v="Office Supplies"/>
    <s v="Paper"/>
    <s v="Southworth 100% Résumé Paper, 24lb."/>
    <n v="38.9"/>
    <n v="5"/>
    <n v="0"/>
    <n v="17.504999999999995"/>
  </r>
  <r>
    <n v="676"/>
    <s v="CA-2019-130351"/>
    <d v="2019-12-05T00:00:00"/>
    <s v="First Class"/>
    <s v="Rob Beeghly"/>
    <s v="Columbus"/>
    <s v="Indiana"/>
    <s v="Central"/>
    <s v="Technology"/>
    <s v="Accessories"/>
    <s v="Imation 16GB Mini TravelDrive USB 2.0 Flash Drive"/>
    <n v="99.390000000000015"/>
    <n v="3"/>
    <n v="0"/>
    <n v="40.749900000000004"/>
  </r>
  <r>
    <n v="677"/>
    <s v="US-2019-119438"/>
    <d v="2019-03-18T00:00:00"/>
    <s v="Standard Class"/>
    <s v="Carol Darley"/>
    <s v="Tyler"/>
    <s v="Texas"/>
    <s v="Central"/>
    <s v="Office Supplies"/>
    <s v="Appliances"/>
    <s v="Hoover Portapower Portable Vacuum"/>
    <n v="2.6879999999999997"/>
    <n v="3"/>
    <n v="0.8"/>
    <n v="-7.3920000000000021"/>
  </r>
  <r>
    <n v="678"/>
    <s v="US-2019-119438"/>
    <d v="2019-03-18T00:00:00"/>
    <s v="Standard Class"/>
    <s v="Carol Darley"/>
    <s v="Tyler"/>
    <s v="Texas"/>
    <s v="Central"/>
    <s v="Technology"/>
    <s v="Accessories"/>
    <s v="Verbatim 25 GB 6x Blu-ray Single Layer Recordable Disc, 10/Pack"/>
    <n v="27.816000000000003"/>
    <n v="3"/>
    <n v="0.2"/>
    <n v="4.5200999999999958"/>
  </r>
  <r>
    <n v="679"/>
    <s v="US-2019-119438"/>
    <d v="2019-03-18T00:00:00"/>
    <s v="Standard Class"/>
    <s v="Carol Darley"/>
    <s v="Tyler"/>
    <s v="Texas"/>
    <s v="Central"/>
    <s v="Furniture"/>
    <s v="Furnishings"/>
    <s v="Howard Miller 13-1/2&quot; Diameter Rosebrook Wall Clock"/>
    <n v="82.524000000000001"/>
    <n v="3"/>
    <n v="0.6"/>
    <n v="-41.261999999999972"/>
  </r>
  <r>
    <n v="680"/>
    <s v="US-2019-119438"/>
    <d v="2019-03-18T00:00:00"/>
    <s v="Standard Class"/>
    <s v="Carol Darley"/>
    <s v="Tyler"/>
    <s v="Texas"/>
    <s v="Central"/>
    <s v="Office Supplies"/>
    <s v="Binders"/>
    <s v="Ibico Hi-Tech Manual Binding System"/>
    <n v="182.99399999999997"/>
    <n v="3"/>
    <n v="0.8"/>
    <n v="-320.23950000000013"/>
  </r>
  <r>
    <n v="681"/>
    <s v="CA-2018-164511"/>
    <d v="2018-11-19T00:00:00"/>
    <s v="Standard Class"/>
    <s v="Doug Jacobs"/>
    <s v="New York City"/>
    <s v="New York"/>
    <s v="East"/>
    <s v="Office Supplies"/>
    <s v="Binders"/>
    <s v="Avery Hanging File Binders"/>
    <n v="14.352000000000002"/>
    <n v="3"/>
    <n v="0.2"/>
    <n v="4.6643999999999988"/>
  </r>
  <r>
    <n v="682"/>
    <s v="CA-2018-164511"/>
    <d v="2018-11-19T00:00:00"/>
    <s v="Standard Class"/>
    <s v="Doug Jacobs"/>
    <s v="New York City"/>
    <s v="New York"/>
    <s v="East"/>
    <s v="Office Supplies"/>
    <s v="Storage"/>
    <s v="Fellowes Neat Ideas Storage Cubes"/>
    <n v="64.959999999999994"/>
    <n v="2"/>
    <n v="0"/>
    <n v="2.598399999999998"/>
  </r>
  <r>
    <n v="683"/>
    <s v="CA-2018-164511"/>
    <d v="2018-11-19T00:00:00"/>
    <s v="Standard Class"/>
    <s v="Doug Jacobs"/>
    <s v="New York City"/>
    <s v="New York"/>
    <s v="East"/>
    <s v="Office Supplies"/>
    <s v="Storage"/>
    <s v="Advantus Rolling Storage Box"/>
    <n v="68.599999999999994"/>
    <n v="4"/>
    <n v="0"/>
    <n v="18.521999999999998"/>
  </r>
  <r>
    <n v="684"/>
    <s v="US-2019-168116"/>
    <d v="2019-11-04T00:00:00"/>
    <s v="Same Day"/>
    <s v="Grant Thornton"/>
    <s v="Burlington"/>
    <s v="North Carolina"/>
    <s v="South"/>
    <s v="Technology"/>
    <s v="Machines"/>
    <s v="Cubify CubeX 3D Printer Triple Head Print"/>
    <n v="7999.98"/>
    <n v="4"/>
    <n v="0.5"/>
    <n v="-3839.9903999999988"/>
  </r>
  <r>
    <n v="685"/>
    <s v="US-2019-168116"/>
    <d v="2019-11-04T00:00:00"/>
    <s v="Same Day"/>
    <s v="Grant Thornton"/>
    <s v="Burlington"/>
    <s v="North Carolina"/>
    <s v="South"/>
    <s v="Office Supplies"/>
    <s v="Appliances"/>
    <s v="Eureka The Boss Plus 12-Amp Hard Box Upright Vacuum, Red"/>
    <n v="167.44000000000003"/>
    <n v="2"/>
    <n v="0.2"/>
    <n v="14.650999999999989"/>
  </r>
  <r>
    <n v="686"/>
    <s v="CA-2016-157784"/>
    <d v="2016-07-05T00:00:00"/>
    <s v="First Class"/>
    <s v="Michael Chen"/>
    <s v="Jackson"/>
    <s v="Mississippi"/>
    <s v="South"/>
    <s v="Technology"/>
    <s v="Accessories"/>
    <s v="NETGEAR AC1750 Dual Band Gigabit Smart WiFi Router"/>
    <n v="479.97"/>
    <n v="3"/>
    <n v="0"/>
    <n v="163.18979999999999"/>
  </r>
  <r>
    <n v="687"/>
    <s v="CA-2016-157784"/>
    <d v="2016-07-05T00:00:00"/>
    <s v="First Class"/>
    <s v="Michael Chen"/>
    <s v="Jackson"/>
    <s v="Mississippi"/>
    <s v="South"/>
    <s v="Office Supplies"/>
    <s v="Labels"/>
    <s v="Avery 516"/>
    <n v="14.62"/>
    <n v="2"/>
    <n v="0"/>
    <n v="6.8713999999999995"/>
  </r>
  <r>
    <n v="688"/>
    <s v="CA-2016-157784"/>
    <d v="2016-07-05T00:00:00"/>
    <s v="First Class"/>
    <s v="Michael Chen"/>
    <s v="Jackson"/>
    <s v="Mississippi"/>
    <s v="South"/>
    <s v="Office Supplies"/>
    <s v="Paper"/>
    <s v="Xerox 1995"/>
    <n v="19.440000000000001"/>
    <n v="3"/>
    <n v="0"/>
    <n v="9.3312000000000008"/>
  </r>
  <r>
    <n v="689"/>
    <s v="CA-2019-161480"/>
    <d v="2019-12-25T00:00:00"/>
    <s v="Standard Class"/>
    <s v="Ralph Arnett"/>
    <s v="New York City"/>
    <s v="New York"/>
    <s v="East"/>
    <s v="Furniture"/>
    <s v="Bookcases"/>
    <s v="Bush Andora Bookcase, Maple/Graphite Gray Finish"/>
    <n v="191.98400000000001"/>
    <n v="2"/>
    <n v="0.2"/>
    <n v="4.7995999999999768"/>
  </r>
  <r>
    <n v="690"/>
    <s v="US-2016-117135"/>
    <d v="2016-06-21T00:00:00"/>
    <s v="Second Class"/>
    <s v="Naresj Patel"/>
    <s v="Waynesboro"/>
    <s v="Virginia"/>
    <s v="South"/>
    <s v="Furniture"/>
    <s v="Furnishings"/>
    <s v="Luxo Professional Magnifying Clamp-On Fluorescent Lamps"/>
    <n v="104.01"/>
    <n v="1"/>
    <n v="0"/>
    <n v="14.561400000000006"/>
  </r>
  <r>
    <n v="691"/>
    <s v="US-2016-117135"/>
    <d v="2016-06-21T00:00:00"/>
    <s v="Second Class"/>
    <s v="Naresj Patel"/>
    <s v="Waynesboro"/>
    <s v="Virginia"/>
    <s v="South"/>
    <s v="Technology"/>
    <s v="Phones"/>
    <s v="Konftel 250 Conference phone - Charcoal black"/>
    <n v="284.82"/>
    <n v="1"/>
    <n v="0"/>
    <n v="74.053200000000004"/>
  </r>
  <r>
    <n v="692"/>
    <s v="US-2016-117135"/>
    <d v="2016-06-21T00:00:00"/>
    <s v="Second Class"/>
    <s v="Naresj Patel"/>
    <s v="Waynesboro"/>
    <s v="Virginia"/>
    <s v="South"/>
    <s v="Office Supplies"/>
    <s v="Storage"/>
    <s v="Recycled Eldon Regeneration Jumbo File"/>
    <n v="36.839999999999996"/>
    <n v="3"/>
    <n v="0"/>
    <n v="10.315199999999999"/>
  </r>
  <r>
    <n v="693"/>
    <s v="CA-2017-131534"/>
    <d v="2017-03-28T00:00:00"/>
    <s v="Standard Class"/>
    <s v="Alan Barnes"/>
    <s v="Los Angeles"/>
    <s v="California"/>
    <s v="West"/>
    <s v="Technology"/>
    <s v="Accessories"/>
    <s v="Imation Bio 8GB USB Flash Drive Imation Corp"/>
    <n v="166.24"/>
    <n v="1"/>
    <n v="0"/>
    <n v="24.936000000000007"/>
  </r>
  <r>
    <n v="694"/>
    <s v="CA-2017-131534"/>
    <d v="2017-03-28T00:00:00"/>
    <s v="Standard Class"/>
    <s v="Alan Barnes"/>
    <s v="Los Angeles"/>
    <s v="California"/>
    <s v="West"/>
    <s v="Office Supplies"/>
    <s v="Paper"/>
    <s v="Xerox 1977"/>
    <n v="33.4"/>
    <n v="5"/>
    <n v="0"/>
    <n v="16.032"/>
  </r>
  <r>
    <n v="695"/>
    <s v="CA-2017-119291"/>
    <d v="2017-05-14T00:00:00"/>
    <s v="First Class"/>
    <s v="Jesus Ocampo"/>
    <s v="Chester"/>
    <s v="Pennsylvania"/>
    <s v="East"/>
    <s v="Office Supplies"/>
    <s v="Art"/>
    <s v="Boston School Pro Electric Pencil Sharpener, 1670"/>
    <n v="198.27200000000002"/>
    <n v="8"/>
    <n v="0.2"/>
    <n v="17.34879999999999"/>
  </r>
  <r>
    <n v="696"/>
    <s v="CA-2017-119291"/>
    <d v="2017-05-14T00:00:00"/>
    <s v="First Class"/>
    <s v="Jesus Ocampo"/>
    <s v="Chester"/>
    <s v="Pennsylvania"/>
    <s v="East"/>
    <s v="Office Supplies"/>
    <s v="Labels"/>
    <s v="Avery 490"/>
    <n v="47.360000000000007"/>
    <n v="4"/>
    <n v="0.2"/>
    <n v="17.759999999999998"/>
  </r>
  <r>
    <n v="697"/>
    <s v="CA-2017-119291"/>
    <d v="2017-05-14T00:00:00"/>
    <s v="First Class"/>
    <s v="Jesus Ocampo"/>
    <s v="Chester"/>
    <s v="Pennsylvania"/>
    <s v="East"/>
    <s v="Office Supplies"/>
    <s v="Envelopes"/>
    <s v="Jet-Pak Recycled Peel 'N' Seal Padded Mailers"/>
    <n v="200.98400000000004"/>
    <n v="7"/>
    <n v="0.2"/>
    <n v="62.807499999999976"/>
  </r>
  <r>
    <n v="698"/>
    <s v="CA-2017-119291"/>
    <d v="2017-05-14T00:00:00"/>
    <s v="First Class"/>
    <s v="Jesus Ocampo"/>
    <s v="Chester"/>
    <s v="Pennsylvania"/>
    <s v="East"/>
    <s v="Office Supplies"/>
    <s v="Labels"/>
    <s v="Avery 4027 File Folder Labels for Dot Matrix Printers, 5000 Labels per Box, White"/>
    <n v="97.696000000000012"/>
    <n v="4"/>
    <n v="0.2"/>
    <n v="31.751200000000001"/>
  </r>
  <r>
    <n v="699"/>
    <s v="CA-2017-119291"/>
    <d v="2017-05-14T00:00:00"/>
    <s v="First Class"/>
    <s v="Jesus Ocampo"/>
    <s v="Chester"/>
    <s v="Pennsylvania"/>
    <s v="East"/>
    <s v="Office Supplies"/>
    <s v="Art"/>
    <s v="Binney &amp; Smith Crayola Metallic Crayons, 16-Color Pack"/>
    <n v="2.6960000000000002"/>
    <n v="1"/>
    <n v="0.2"/>
    <n v="0.8088000000000003"/>
  </r>
  <r>
    <n v="700"/>
    <s v="CA-2017-119291"/>
    <d v="2017-05-14T00:00:00"/>
    <s v="First Class"/>
    <s v="Jesus Ocampo"/>
    <s v="Chester"/>
    <s v="Pennsylvania"/>
    <s v="East"/>
    <s v="Office Supplies"/>
    <s v="Binders"/>
    <s v="GBC Linen Binding Covers"/>
    <n v="18.588000000000005"/>
    <n v="2"/>
    <n v="0.7"/>
    <n v="-13.6312"/>
  </r>
  <r>
    <n v="701"/>
    <s v="CA-2017-119291"/>
    <d v="2017-05-14T00:00:00"/>
    <s v="First Class"/>
    <s v="Jesus Ocampo"/>
    <s v="Chester"/>
    <s v="Pennsylvania"/>
    <s v="East"/>
    <s v="Office Supplies"/>
    <s v="Binders"/>
    <s v="Wilson Jones Custom Binder Spines &amp; Labels"/>
    <n v="4.8960000000000008"/>
    <n v="3"/>
    <n v="0.7"/>
    <n v="-3.4271999999999991"/>
  </r>
  <r>
    <n v="702"/>
    <s v="CA-2019-114552"/>
    <d v="2019-09-02T00:00:00"/>
    <s v="Standard Class"/>
    <s v="Dorris liebe"/>
    <s v="Cleveland"/>
    <s v="Ohio"/>
    <s v="East"/>
    <s v="Furniture"/>
    <s v="Furnishings"/>
    <s v="Eldon 200 Class Desk Accessories, Burgundy"/>
    <n v="15.072000000000003"/>
    <n v="3"/>
    <n v="0.2"/>
    <n v="4.1448"/>
  </r>
  <r>
    <n v="703"/>
    <s v="CA-2018-163755"/>
    <d v="2018-11-04T00:00:00"/>
    <s v="Second Class"/>
    <s v="Alejandro Savely"/>
    <s v="Seattle"/>
    <s v="Washington"/>
    <s v="West"/>
    <s v="Furniture"/>
    <s v="Furnishings"/>
    <s v="Tenex &quot;The Solids&quot; Textured Chair Mats"/>
    <n v="209.88"/>
    <n v="3"/>
    <n v="0"/>
    <n v="35.679599999999979"/>
  </r>
  <r>
    <n v="704"/>
    <s v="CA-2017-142027"/>
    <d v="2017-04-09T00:00:00"/>
    <s v="Standard Class"/>
    <s v="Jay Kimmel"/>
    <s v="Long Beach"/>
    <s v="California"/>
    <s v="West"/>
    <s v="Furniture"/>
    <s v="Tables"/>
    <s v="Laminate Occasional Tables"/>
    <n v="369.91200000000003"/>
    <n v="3"/>
    <n v="0.2"/>
    <n v="-13.871700000000047"/>
  </r>
  <r>
    <n v="705"/>
    <s v="CA-2016-138527"/>
    <d v="2016-09-12T00:00:00"/>
    <s v="Standard Class"/>
    <s v="Brad Norvell"/>
    <s v="Cary"/>
    <s v="North Carolina"/>
    <s v="South"/>
    <s v="Office Supplies"/>
    <s v="Paper"/>
    <s v="Xerox 220"/>
    <n v="10.368000000000002"/>
    <n v="2"/>
    <n v="0.2"/>
    <n v="3.6288"/>
  </r>
  <r>
    <n v="706"/>
    <s v="CA-2016-138527"/>
    <d v="2016-09-12T00:00:00"/>
    <s v="Standard Class"/>
    <s v="Brad Norvell"/>
    <s v="Cary"/>
    <s v="North Carolina"/>
    <s v="South"/>
    <s v="Office Supplies"/>
    <s v="Appliances"/>
    <s v="Fellowes 8 Outlet Superior Workstation Surge Protector"/>
    <n v="166.84"/>
    <n v="5"/>
    <n v="0.2"/>
    <n v="18.769499999999987"/>
  </r>
  <r>
    <n v="707"/>
    <s v="CA-2016-138527"/>
    <d v="2016-09-12T00:00:00"/>
    <s v="Standard Class"/>
    <s v="Brad Norvell"/>
    <s v="Cary"/>
    <s v="North Carolina"/>
    <s v="South"/>
    <s v="Technology"/>
    <s v="Accessories"/>
    <s v="SanDisk Cruzer 32 GB USB Flash Drive"/>
    <n v="15.216000000000001"/>
    <n v="1"/>
    <n v="0.2"/>
    <n v="2.2823999999999991"/>
  </r>
  <r>
    <n v="708"/>
    <s v="CA-2016-112158"/>
    <d v="2016-12-02T00:00:00"/>
    <s v="First Class"/>
    <s v="David Philippe"/>
    <s v="New York City"/>
    <s v="New York"/>
    <s v="East"/>
    <s v="Technology"/>
    <s v="Accessories"/>
    <s v="Logitech 910-002974 M325 Wireless Mouse for Web Scrolling"/>
    <n v="119.96"/>
    <n v="4"/>
    <n v="0"/>
    <n v="52.78240000000001"/>
  </r>
  <r>
    <n v="709"/>
    <s v="CA-2016-112158"/>
    <d v="2016-12-02T00:00:00"/>
    <s v="First Class"/>
    <s v="David Philippe"/>
    <s v="New York City"/>
    <s v="New York"/>
    <s v="East"/>
    <s v="Furniture"/>
    <s v="Bookcases"/>
    <s v="O'Sullivan Living Dimensions 5-Shelf Bookcases"/>
    <n v="883.92"/>
    <n v="5"/>
    <n v="0.2"/>
    <n v="-110.49000000000007"/>
  </r>
  <r>
    <n v="710"/>
    <s v="CA-2016-112158"/>
    <d v="2016-12-02T00:00:00"/>
    <s v="First Class"/>
    <s v="David Philippe"/>
    <s v="New York City"/>
    <s v="New York"/>
    <s v="East"/>
    <s v="Office Supplies"/>
    <s v="Binders"/>
    <s v="Angle-D Binders with Locking Rings, Label Holders"/>
    <n v="46.72"/>
    <n v="8"/>
    <n v="0.2"/>
    <n v="15.767999999999997"/>
  </r>
  <r>
    <n v="711"/>
    <s v="CA-2016-113887"/>
    <d v="2016-04-05T00:00:00"/>
    <s v="First Class"/>
    <s v="Tracy Hopkins"/>
    <s v="New York City"/>
    <s v="New York"/>
    <s v="East"/>
    <s v="Office Supplies"/>
    <s v="Paper"/>
    <s v="Eaton Premium Continuous-Feed Paper, 25% Cotton, Letter Size, White, 1000 Shts/Box"/>
    <n v="55.48"/>
    <n v="1"/>
    <n v="0"/>
    <n v="26.630399999999998"/>
  </r>
  <r>
    <n v="712"/>
    <s v="CA-2019-146136"/>
    <d v="2019-09-03T00:00:00"/>
    <s v="Standard Class"/>
    <s v="Arthur Prichep"/>
    <s v="Palm Coast"/>
    <s v="Florida"/>
    <s v="South"/>
    <s v="Office Supplies"/>
    <s v="Envelopes"/>
    <s v="#10- 4 1/8&quot; x 9 1/2&quot; Security-Tint Envelopes"/>
    <n v="24.448"/>
    <n v="4"/>
    <n v="0.2"/>
    <n v="8.8623999999999992"/>
  </r>
  <r>
    <n v="713"/>
    <s v="US-2019-100048"/>
    <d v="2019-05-19T00:00:00"/>
    <s v="Standard Class"/>
    <s v="Roland Schwarz"/>
    <s v="Mount Vernon"/>
    <s v="New York"/>
    <s v="East"/>
    <s v="Office Supplies"/>
    <s v="Appliances"/>
    <s v="Bionaire Personal Warm Mist Humidifier/Vaporizer"/>
    <n v="281.34000000000003"/>
    <n v="6"/>
    <n v="0"/>
    <n v="109.72260000000001"/>
  </r>
  <r>
    <n v="714"/>
    <s v="US-2019-100048"/>
    <d v="2019-05-19T00:00:00"/>
    <s v="Standard Class"/>
    <s v="Roland Schwarz"/>
    <s v="Mount Vernon"/>
    <s v="New York"/>
    <s v="East"/>
    <s v="Technology"/>
    <s v="Phones"/>
    <s v="Nortel Meridian M3904 Professional Digital phone"/>
    <n v="307.98"/>
    <n v="2"/>
    <n v="0"/>
    <n v="89.314199999999971"/>
  </r>
  <r>
    <n v="715"/>
    <s v="US-2019-100048"/>
    <d v="2019-05-19T00:00:00"/>
    <s v="Standard Class"/>
    <s v="Roland Schwarz"/>
    <s v="Mount Vernon"/>
    <s v="New York"/>
    <s v="East"/>
    <s v="Technology"/>
    <s v="Accessories"/>
    <s v="Logitech Wireless Performance Mouse MX for PC and Mac"/>
    <n v="299.96999999999997"/>
    <n v="3"/>
    <n v="0"/>
    <n v="113.98860000000001"/>
  </r>
  <r>
    <n v="716"/>
    <s v="CA-2016-153150"/>
    <d v="2016-07-01T00:00:00"/>
    <s v="Second Class"/>
    <s v="Dorris liebe"/>
    <s v="Seattle"/>
    <s v="Washington"/>
    <s v="West"/>
    <s v="Office Supplies"/>
    <s v="Binders"/>
    <s v="Cardinal Holdit Business Card Pockets"/>
    <n v="19.920000000000002"/>
    <n v="5"/>
    <n v="0.2"/>
    <n v="6.9719999999999995"/>
  </r>
  <r>
    <n v="717"/>
    <s v="CA-2016-130092"/>
    <d v="2016-01-11T00:00:00"/>
    <s v="First Class"/>
    <s v="Seth Vernon"/>
    <s v="Dover"/>
    <s v="Delaware"/>
    <s v="East"/>
    <s v="Furniture"/>
    <s v="Furnishings"/>
    <s v="DAX Value U-Channel Document Frames, Easel Back"/>
    <n v="9.94"/>
    <n v="2"/>
    <n v="0"/>
    <n v="3.0813999999999995"/>
  </r>
  <r>
    <n v="718"/>
    <s v="CA-2019-108910"/>
    <d v="2019-09-24T00:00:00"/>
    <s v="Standard Class"/>
    <s v="Kelly Collister"/>
    <s v="Newark"/>
    <s v="Ohio"/>
    <s v="East"/>
    <s v="Furniture"/>
    <s v="Furnishings"/>
    <s v="Howard Miller 13&quot; Diameter Pewter Finish Round Wall Clock"/>
    <n v="103.05599999999998"/>
    <n v="3"/>
    <n v="0.2"/>
    <n v="24.475800000000007"/>
  </r>
  <r>
    <n v="719"/>
    <s v="CA-2016-104472"/>
    <d v="2016-06-02T00:00:00"/>
    <s v="Standard Class"/>
    <s v="Christine Kargatis"/>
    <s v="Orem"/>
    <s v="Utah"/>
    <s v="West"/>
    <s v="Office Supplies"/>
    <s v="Binders"/>
    <s v="GBC Standard Therm-A-Bind Covers"/>
    <n v="59.808000000000007"/>
    <n v="3"/>
    <n v="0.2"/>
    <n v="19.4376"/>
  </r>
  <r>
    <n v="720"/>
    <s v="CA-2016-104472"/>
    <d v="2016-06-02T00:00:00"/>
    <s v="Standard Class"/>
    <s v="Christine Kargatis"/>
    <s v="Orem"/>
    <s v="Utah"/>
    <s v="West"/>
    <s v="Furniture"/>
    <s v="Furnishings"/>
    <s v="Aluminum Document Frame"/>
    <n v="73.320000000000007"/>
    <n v="6"/>
    <n v="0"/>
    <n v="21.995999999999992"/>
  </r>
  <r>
    <n v="721"/>
    <s v="CA-2018-112942"/>
    <d v="2018-02-13T00:00:00"/>
    <s v="Standard Class"/>
    <s v="Ross DeVincentis"/>
    <s v="Los Angeles"/>
    <s v="California"/>
    <s v="West"/>
    <s v="Office Supplies"/>
    <s v="Paper"/>
    <s v="Tops Green Bar Computer Printout Paper"/>
    <n v="146.82"/>
    <n v="3"/>
    <n v="0"/>
    <n v="73.41"/>
  </r>
  <r>
    <n v="722"/>
    <s v="CA-2018-142335"/>
    <d v="2018-12-15T00:00:00"/>
    <s v="Standard Class"/>
    <s v="Michael Paige"/>
    <s v="Detroit"/>
    <s v="Michigan"/>
    <s v="Central"/>
    <s v="Furniture"/>
    <s v="Tables"/>
    <s v="Chromcraft Bull-Nose Wood Oval Conference Tables &amp; Bases"/>
    <n v="1652.94"/>
    <n v="3"/>
    <n v="0"/>
    <n v="231.41160000000002"/>
  </r>
  <r>
    <n v="723"/>
    <s v="CA-2018-142335"/>
    <d v="2018-12-15T00:00:00"/>
    <s v="Standard Class"/>
    <s v="Michael Paige"/>
    <s v="Detroit"/>
    <s v="Michigan"/>
    <s v="Central"/>
    <s v="Office Supplies"/>
    <s v="Storage"/>
    <s v="Recycled Data-Pak for Archival Bound Computer Printouts, 12-1/2 x 12-1/2 x 16"/>
    <n v="296.37"/>
    <n v="3"/>
    <n v="0"/>
    <n v="80.019899999999993"/>
  </r>
  <r>
    <n v="724"/>
    <s v="CA-2016-117429"/>
    <d v="2016-10-07T00:00:00"/>
    <s v="Standard Class"/>
    <s v="Mathew Reese"/>
    <s v="Philadelphia"/>
    <s v="Pennsylvania"/>
    <s v="East"/>
    <s v="Furniture"/>
    <s v="Furnishings"/>
    <s v="Seth Thomas 16&quot; Steel Case Clock"/>
    <n v="129.91999999999999"/>
    <n v="5"/>
    <n v="0.2"/>
    <n v="21.112000000000002"/>
  </r>
  <r>
    <n v="725"/>
    <s v="CA-2018-114713"/>
    <d v="2018-07-07T00:00:00"/>
    <s v="Standard Class"/>
    <s v="Steve Chapman"/>
    <s v="Hialeah"/>
    <s v="Florida"/>
    <s v="South"/>
    <s v="Office Supplies"/>
    <s v="Supplies"/>
    <s v="Acme Softgrip Scissors"/>
    <n v="45.584000000000003"/>
    <n v="7"/>
    <n v="0.2"/>
    <n v="5.1281999999999996"/>
  </r>
  <r>
    <n v="726"/>
    <s v="CA-2019-144113"/>
    <d v="2019-09-16T00:00:00"/>
    <s v="Standard Class"/>
    <s v="Jay Fein"/>
    <s v="Austin"/>
    <s v="Texas"/>
    <s v="Central"/>
    <s v="Office Supplies"/>
    <s v="Envelopes"/>
    <s v="Manila Recycled Extra-Heavyweight Clasp Envelopes, 6&quot; x 9&quot;"/>
    <n v="17.568000000000001"/>
    <n v="2"/>
    <n v="0.2"/>
    <n v="6.3684000000000003"/>
  </r>
  <r>
    <n v="727"/>
    <s v="CA-2019-144113"/>
    <d v="2019-09-16T00:00:00"/>
    <s v="Standard Class"/>
    <s v="Jay Fein"/>
    <s v="Austin"/>
    <s v="Texas"/>
    <s v="Central"/>
    <s v="Technology"/>
    <s v="Phones"/>
    <s v="ClearSounds CSC500 Amplified Spirit Phone Corded phone"/>
    <n v="55.991999999999997"/>
    <n v="1"/>
    <n v="0.2"/>
    <n v="5.5992000000000015"/>
  </r>
  <r>
    <n v="728"/>
    <s v="US-2018-150861"/>
    <d v="2018-12-03T00:00:00"/>
    <s v="First Class"/>
    <s v="Emily Grady"/>
    <s v="Oceanside"/>
    <s v="New York"/>
    <s v="East"/>
    <s v="Office Supplies"/>
    <s v="Paper"/>
    <s v="Xerox 1964"/>
    <n v="182.72"/>
    <n v="8"/>
    <n v="0"/>
    <n v="84.051199999999994"/>
  </r>
  <r>
    <n v="729"/>
    <s v="US-2018-150861"/>
    <d v="2018-12-03T00:00:00"/>
    <s v="First Class"/>
    <s v="Emily Grady"/>
    <s v="Oceanside"/>
    <s v="New York"/>
    <s v="East"/>
    <s v="Furniture"/>
    <s v="Tables"/>
    <s v="Bevis Traditional Conference Table Top, Plinth Base"/>
    <n v="400.03199999999998"/>
    <n v="2"/>
    <n v="0.4"/>
    <n v="-153.34560000000005"/>
  </r>
  <r>
    <n v="730"/>
    <s v="US-2018-150861"/>
    <d v="2018-12-03T00:00:00"/>
    <s v="First Class"/>
    <s v="Emily Grady"/>
    <s v="Oceanside"/>
    <s v="New York"/>
    <s v="East"/>
    <s v="Office Supplies"/>
    <s v="Storage"/>
    <s v="Personal Folder Holder, Ebony"/>
    <n v="33.630000000000003"/>
    <n v="3"/>
    <n v="0"/>
    <n v="10.088999999999999"/>
  </r>
  <r>
    <n v="731"/>
    <s v="US-2018-150861"/>
    <d v="2018-12-03T00:00:00"/>
    <s v="First Class"/>
    <s v="Emily Grady"/>
    <s v="Oceanside"/>
    <s v="New York"/>
    <s v="East"/>
    <s v="Furniture"/>
    <s v="Chairs"/>
    <s v="Global Leather Highback Executive Chair with Pneumatic Height Adjustment, Black"/>
    <n v="542.64599999999996"/>
    <n v="3"/>
    <n v="0.1"/>
    <n v="102.49980000000001"/>
  </r>
  <r>
    <n v="732"/>
    <s v="US-2018-150861"/>
    <d v="2018-12-03T00:00:00"/>
    <s v="First Class"/>
    <s v="Emily Grady"/>
    <s v="Oceanside"/>
    <s v="New York"/>
    <s v="East"/>
    <s v="Office Supplies"/>
    <s v="Labels"/>
    <s v="Avery 520"/>
    <n v="6.3"/>
    <n v="2"/>
    <n v="0"/>
    <n v="3.024"/>
  </r>
  <r>
    <n v="733"/>
    <s v="CA-2019-131954"/>
    <d v="2019-01-21T00:00:00"/>
    <s v="Standard Class"/>
    <s v="Darrin Sayre"/>
    <s v="Seattle"/>
    <s v="Washington"/>
    <s v="West"/>
    <s v="Office Supplies"/>
    <s v="Storage"/>
    <s v="Carina Double Wide Media Storage Towers in Natural &amp; Black"/>
    <n v="242.94"/>
    <n v="3"/>
    <n v="0"/>
    <n v="9.7175999999999902"/>
  </r>
  <r>
    <n v="734"/>
    <s v="CA-2019-131954"/>
    <d v="2019-01-21T00:00:00"/>
    <s v="Standard Class"/>
    <s v="Darrin Sayre"/>
    <s v="Seattle"/>
    <s v="Washington"/>
    <s v="West"/>
    <s v="Technology"/>
    <s v="Accessories"/>
    <s v="Logitech Illuminated - Keyboard"/>
    <n v="179.97"/>
    <n v="3"/>
    <n v="0"/>
    <n v="86.385600000000011"/>
  </r>
  <r>
    <n v="735"/>
    <s v="CA-2019-131954"/>
    <d v="2019-01-21T00:00:00"/>
    <s v="Standard Class"/>
    <s v="Darrin Sayre"/>
    <s v="Seattle"/>
    <s v="Washington"/>
    <s v="West"/>
    <s v="Office Supplies"/>
    <s v="Binders"/>
    <s v="Wilson Jones Century Plastic Molded Ring Binders"/>
    <n v="99.695999999999998"/>
    <n v="6"/>
    <n v="0.2"/>
    <n v="33.647399999999998"/>
  </r>
  <r>
    <n v="736"/>
    <s v="CA-2019-131954"/>
    <d v="2019-01-21T00:00:00"/>
    <s v="Standard Class"/>
    <s v="Darrin Sayre"/>
    <s v="Seattle"/>
    <s v="Washington"/>
    <s v="West"/>
    <s v="Office Supplies"/>
    <s v="Binders"/>
    <s v="Wilson Jones Leather-Like Binders with DublLock Round Rings"/>
    <n v="27.936000000000003"/>
    <n v="4"/>
    <n v="0.2"/>
    <n v="9.4283999999999963"/>
  </r>
  <r>
    <n v="737"/>
    <s v="CA-2019-131954"/>
    <d v="2019-01-21T00:00:00"/>
    <s v="Standard Class"/>
    <s v="Darrin Sayre"/>
    <s v="Seattle"/>
    <s v="Washington"/>
    <s v="West"/>
    <s v="Furniture"/>
    <s v="Bookcases"/>
    <s v="O'Sullivan Cherrywood Estates Traditional Bookcase"/>
    <n v="84.98"/>
    <n v="1"/>
    <n v="0"/>
    <n v="18.695599999999999"/>
  </r>
  <r>
    <n v="738"/>
    <s v="CA-2019-131954"/>
    <d v="2019-01-21T00:00:00"/>
    <s v="Standard Class"/>
    <s v="Darrin Sayre"/>
    <s v="Seattle"/>
    <s v="Washington"/>
    <s v="West"/>
    <s v="Office Supplies"/>
    <s v="Binders"/>
    <s v="Acco Translucent Poly Ring Binders"/>
    <n v="18.72"/>
    <n v="5"/>
    <n v="0.2"/>
    <n v="6.5519999999999996"/>
  </r>
  <r>
    <n v="739"/>
    <s v="CA-2016-132500"/>
    <d v="2016-09-08T00:00:00"/>
    <s v="Standard Class"/>
    <s v="Gary Zandusky"/>
    <s v="San Francisco"/>
    <s v="California"/>
    <s v="West"/>
    <s v="Technology"/>
    <s v="Accessories"/>
    <s v="Logitech Wireless Touch Keyboard K400"/>
    <n v="49.98"/>
    <n v="2"/>
    <n v="0"/>
    <n v="8.4965999999999937"/>
  </r>
  <r>
    <n v="740"/>
    <s v="CA-2016-112326"/>
    <d v="2016-01-04T00:00:00"/>
    <s v="Standard Class"/>
    <s v="Phillina Ober"/>
    <s v="Naperville"/>
    <s v="Illinois"/>
    <s v="Central"/>
    <s v="Office Supplies"/>
    <s v="Labels"/>
    <s v="Avery 508"/>
    <n v="11.784000000000001"/>
    <n v="3"/>
    <n v="0.2"/>
    <n v="4.2716999999999992"/>
  </r>
  <r>
    <n v="741"/>
    <s v="CA-2016-112326"/>
    <d v="2016-01-04T00:00:00"/>
    <s v="Standard Class"/>
    <s v="Phillina Ober"/>
    <s v="Naperville"/>
    <s v="Illinois"/>
    <s v="Central"/>
    <s v="Office Supplies"/>
    <s v="Storage"/>
    <s v="SAFCO Boltless Steel Shelving"/>
    <n v="272.73599999999999"/>
    <n v="3"/>
    <n v="0.2"/>
    <n v="-64.774800000000013"/>
  </r>
  <r>
    <n v="742"/>
    <s v="CA-2016-112326"/>
    <d v="2016-01-04T00:00:00"/>
    <s v="Standard Class"/>
    <s v="Phillina Ober"/>
    <s v="Naperville"/>
    <s v="Illinois"/>
    <s v="Central"/>
    <s v="Office Supplies"/>
    <s v="Binders"/>
    <s v="GBC Standard Plastic Binding Systems Combs"/>
    <n v="3.5399999999999991"/>
    <n v="2"/>
    <n v="0.8"/>
    <n v="-5.4870000000000001"/>
  </r>
  <r>
    <n v="743"/>
    <s v="US-2018-146710"/>
    <d v="2018-08-27T00:00:00"/>
    <s v="Standard Class"/>
    <s v="Sung Shariari"/>
    <s v="Dallas"/>
    <s v="Texas"/>
    <s v="Central"/>
    <s v="Office Supplies"/>
    <s v="Supplies"/>
    <s v="Martin-Yale Premier Letter Opener"/>
    <n v="51.52000000000001"/>
    <n v="5"/>
    <n v="0.2"/>
    <n v="-10.948000000000002"/>
  </r>
  <r>
    <n v="744"/>
    <s v="US-2018-146710"/>
    <d v="2018-08-27T00:00:00"/>
    <s v="Standard Class"/>
    <s v="Sung Shariari"/>
    <s v="Dallas"/>
    <s v="Texas"/>
    <s v="Central"/>
    <s v="Office Supplies"/>
    <s v="Paper"/>
    <s v="Ampad Gold Fibre Wirebound Steno Books, 6&quot; x 9&quot;, Gregg Ruled"/>
    <n v="3.5280000000000005"/>
    <n v="1"/>
    <n v="0.2"/>
    <n v="1.1465999999999998"/>
  </r>
  <r>
    <n v="745"/>
    <s v="US-2018-146710"/>
    <d v="2018-08-27T00:00:00"/>
    <s v="Standard Class"/>
    <s v="Sung Shariari"/>
    <s v="Dallas"/>
    <s v="Texas"/>
    <s v="Central"/>
    <s v="Office Supplies"/>
    <s v="Paper"/>
    <s v="Xerox 196"/>
    <n v="4.6240000000000006"/>
    <n v="1"/>
    <n v="0.2"/>
    <n v="1.6762000000000001"/>
  </r>
  <r>
    <n v="746"/>
    <s v="US-2018-146710"/>
    <d v="2018-08-27T00:00:00"/>
    <s v="Standard Class"/>
    <s v="Sung Shariari"/>
    <s v="Dallas"/>
    <s v="Texas"/>
    <s v="Central"/>
    <s v="Office Supplies"/>
    <s v="Supplies"/>
    <s v="Fiskars 8&quot; Scissors, 2/Pack"/>
    <n v="55.167999999999999"/>
    <n v="4"/>
    <n v="0.2"/>
    <n v="6.2063999999999897"/>
  </r>
  <r>
    <n v="747"/>
    <s v="CA-2016-124429"/>
    <d v="2016-05-27T00:00:00"/>
    <s v="Same Day"/>
    <s v="Maya Herman"/>
    <s v="San Diego"/>
    <s v="California"/>
    <s v="West"/>
    <s v="Furniture"/>
    <s v="Tables"/>
    <s v="KI Conference Tables"/>
    <n v="567.12"/>
    <n v="10"/>
    <n v="0.2"/>
    <n v="-28.355999999999952"/>
  </r>
  <r>
    <n v="748"/>
    <s v="CA-2016-124429"/>
    <d v="2016-05-27T00:00:00"/>
    <s v="Same Day"/>
    <s v="Maya Herman"/>
    <s v="San Diego"/>
    <s v="California"/>
    <s v="West"/>
    <s v="Office Supplies"/>
    <s v="Storage"/>
    <s v="Fellowes Officeware Wire Shelving"/>
    <n v="359.32"/>
    <n v="4"/>
    <n v="0"/>
    <n v="7.1863999999999919"/>
  </r>
  <r>
    <n v="749"/>
    <s v="CA-2018-150889"/>
    <d v="2018-03-20T00:00:00"/>
    <s v="Second Class"/>
    <s v="Peter Bühler"/>
    <s v="Evanston"/>
    <s v="Illinois"/>
    <s v="Central"/>
    <s v="Technology"/>
    <s v="Phones"/>
    <s v="Belkin iPhone and iPad Lightning Cable"/>
    <n v="11.992000000000001"/>
    <n v="1"/>
    <n v="0.2"/>
    <n v="0.89939999999999909"/>
  </r>
  <r>
    <n v="750"/>
    <s v="CA-2019-126074"/>
    <d v="2019-10-02T00:00:00"/>
    <s v="Standard Class"/>
    <s v="Roland Fjeld"/>
    <s v="Trenton"/>
    <s v="Michigan"/>
    <s v="Central"/>
    <s v="Office Supplies"/>
    <s v="Binders"/>
    <s v="GBC Durable Plastic Covers"/>
    <n v="58.050000000000004"/>
    <n v="3"/>
    <n v="0"/>
    <n v="26.702999999999999"/>
  </r>
  <r>
    <n v="751"/>
    <s v="CA-2019-126074"/>
    <d v="2019-10-02T00:00:00"/>
    <s v="Standard Class"/>
    <s v="Roland Fjeld"/>
    <s v="Trenton"/>
    <s v="Michigan"/>
    <s v="Central"/>
    <s v="Furniture"/>
    <s v="Furnishings"/>
    <s v="Nu-Dell Leatherette Frames"/>
    <n v="157.74"/>
    <n v="11"/>
    <n v="0"/>
    <n v="56.7864"/>
  </r>
  <r>
    <n v="752"/>
    <s v="CA-2019-126074"/>
    <d v="2019-10-02T00:00:00"/>
    <s v="Standard Class"/>
    <s v="Roland Fjeld"/>
    <s v="Trenton"/>
    <s v="Michigan"/>
    <s v="Central"/>
    <s v="Office Supplies"/>
    <s v="Art"/>
    <s v="Avery Hi-Liter EverBold Pen Style Fluorescent Highlighters, 4/Pack"/>
    <n v="56.980000000000004"/>
    <n v="7"/>
    <n v="0"/>
    <n v="22.792000000000002"/>
  </r>
  <r>
    <n v="753"/>
    <s v="CA-2019-126074"/>
    <d v="2019-10-02T00:00:00"/>
    <s v="Standard Class"/>
    <s v="Roland Fjeld"/>
    <s v="Trenton"/>
    <s v="Michigan"/>
    <s v="Central"/>
    <s v="Office Supplies"/>
    <s v="Binders"/>
    <s v="Avery Durable Binders"/>
    <n v="2.88"/>
    <n v="1"/>
    <n v="0"/>
    <n v="1.4112"/>
  </r>
  <r>
    <n v="754"/>
    <s v="CA-2018-110499"/>
    <d v="2018-04-07T00:00:00"/>
    <s v="First Class"/>
    <s v="Yoseph Carroll"/>
    <s v="San Francisco"/>
    <s v="California"/>
    <s v="West"/>
    <s v="Technology"/>
    <s v="Copiers"/>
    <s v="Hewlett Packard 610 Color Digital Copier / Printer"/>
    <n v="1199.9760000000001"/>
    <n v="3"/>
    <n v="0.2"/>
    <n v="374.99249999999995"/>
  </r>
  <r>
    <n v="755"/>
    <s v="CA-2017-135272"/>
    <d v="2017-12-07T00:00:00"/>
    <s v="Standard Class"/>
    <s v="Melanie Seite"/>
    <s v="Los Angeles"/>
    <s v="California"/>
    <s v="West"/>
    <s v="Furniture"/>
    <s v="Furnishings"/>
    <s v="12-1/2 Diameter Round Wall Clock"/>
    <n v="79.92"/>
    <n v="4"/>
    <n v="0"/>
    <n v="28.7712"/>
  </r>
  <r>
    <n v="756"/>
    <s v="CA-2018-140928"/>
    <d v="2018-09-18T00:00:00"/>
    <s v="Standard Class"/>
    <s v="Nona Balk"/>
    <s v="Jacksonville"/>
    <s v="Florida"/>
    <s v="South"/>
    <s v="Furniture"/>
    <s v="Tables"/>
    <s v="Chromcraft Round Conference Tables"/>
    <n v="383.43799999999999"/>
    <n v="4"/>
    <n v="0.45"/>
    <n v="-167.3184"/>
  </r>
  <r>
    <n v="757"/>
    <s v="CA-2016-106803"/>
    <d v="2016-12-29T00:00:00"/>
    <s v="Standard Class"/>
    <s v="Debra Catini"/>
    <s v="Cottage Grove"/>
    <s v="Minnesota"/>
    <s v="Central"/>
    <s v="Office Supplies"/>
    <s v="Storage"/>
    <s v="Recycled Eldon Regeneration Jumbo File"/>
    <n v="24.56"/>
    <n v="2"/>
    <n v="0"/>
    <n v="6.8767999999999994"/>
  </r>
  <r>
    <n v="758"/>
    <s v="CA-2016-106803"/>
    <d v="2016-12-29T00:00:00"/>
    <s v="Standard Class"/>
    <s v="Debra Catini"/>
    <s v="Cottage Grove"/>
    <s v="Minnesota"/>
    <s v="Central"/>
    <s v="Technology"/>
    <s v="Accessories"/>
    <s v="Imation 32GB Pocket Pro USB 3.0 Flash Drive - 32 GB - Black - 1 P ..."/>
    <n v="119.8"/>
    <n v="4"/>
    <n v="0"/>
    <n v="47.92"/>
  </r>
  <r>
    <n v="759"/>
    <s v="CA-2019-117240"/>
    <d v="2019-07-23T00:00:00"/>
    <s v="Standard Class"/>
    <s v="Christine Phan"/>
    <s v="New York City"/>
    <s v="New York"/>
    <s v="East"/>
    <s v="Office Supplies"/>
    <s v="Binders"/>
    <s v="Angle-D Ring Binders"/>
    <n v="13.128"/>
    <n v="3"/>
    <n v="0.2"/>
    <n v="4.2665999999999986"/>
  </r>
  <r>
    <n v="760"/>
    <s v="CA-2019-133333"/>
    <d v="2019-09-18T00:00:00"/>
    <s v="Standard Class"/>
    <s v="Barry Französisch"/>
    <s v="Green Bay"/>
    <s v="Wisconsin"/>
    <s v="Central"/>
    <s v="Office Supplies"/>
    <s v="Paper"/>
    <s v="Adams Telephone Message Book W/Dividers/Space For Phone Numbers, 5 1/4&quot;X8 1/2&quot;, 200/Messages"/>
    <n v="22.72"/>
    <n v="4"/>
    <n v="0"/>
    <n v="10.223999999999998"/>
  </r>
  <r>
    <n v="761"/>
    <s v="CA-2017-112319"/>
    <d v="2017-08-31T00:00:00"/>
    <s v="Standard Class"/>
    <s v="Andrew Roberts"/>
    <s v="Los Angeles"/>
    <s v="California"/>
    <s v="West"/>
    <s v="Office Supplies"/>
    <s v="Paper"/>
    <s v="Xerox 226"/>
    <n v="58.320000000000007"/>
    <n v="9"/>
    <n v="0"/>
    <n v="27.993600000000001"/>
  </r>
  <r>
    <n v="762"/>
    <s v="CA-2019-126046"/>
    <d v="2019-11-03T00:00:00"/>
    <s v="Standard Class"/>
    <s v="Julie Creighton"/>
    <s v="Atlanta"/>
    <s v="Georgia"/>
    <s v="South"/>
    <s v="Office Supplies"/>
    <s v="Labels"/>
    <s v="Avery 476"/>
    <n v="12.39"/>
    <n v="3"/>
    <n v="0"/>
    <n v="5.6993999999999998"/>
  </r>
  <r>
    <n v="763"/>
    <s v="CA-2017-114923"/>
    <d v="2017-02-08T00:00:00"/>
    <s v="Standard Class"/>
    <s v="Lisa Hazard"/>
    <s v="Columbus"/>
    <s v="Ohio"/>
    <s v="East"/>
    <s v="Technology"/>
    <s v="Phones"/>
    <s v="JBL Micro Wireless Portable Bluetooth Speaker"/>
    <n v="107.982"/>
    <n v="3"/>
    <n v="0.4"/>
    <n v="-26.995499999999993"/>
  </r>
  <r>
    <n v="764"/>
    <s v="CA-2016-162775"/>
    <d v="2016-01-13T00:00:00"/>
    <s v="Second Class"/>
    <s v="Chris Selesnick"/>
    <s v="Bossier City"/>
    <s v="Louisiana"/>
    <s v="South"/>
    <s v="Office Supplies"/>
    <s v="Envelopes"/>
    <s v="Staple envelope"/>
    <n v="11.36"/>
    <n v="2"/>
    <n v="0"/>
    <n v="5.3391999999999991"/>
  </r>
  <r>
    <n v="765"/>
    <s v="CA-2016-162775"/>
    <d v="2016-01-13T00:00:00"/>
    <s v="Second Class"/>
    <s v="Chris Selesnick"/>
    <s v="Bossier City"/>
    <s v="Louisiana"/>
    <s v="South"/>
    <s v="Office Supplies"/>
    <s v="Envelopes"/>
    <s v="Brown Kraft Recycled Envelopes"/>
    <n v="50.94"/>
    <n v="3"/>
    <n v="0"/>
    <n v="25.47"/>
  </r>
  <r>
    <n v="766"/>
    <s v="CA-2016-162775"/>
    <d v="2016-01-13T00:00:00"/>
    <s v="Second Class"/>
    <s v="Chris Selesnick"/>
    <s v="Bossier City"/>
    <s v="Louisiana"/>
    <s v="South"/>
    <s v="Technology"/>
    <s v="Accessories"/>
    <s v="Plantronics S12 Corded Telephone Headset System"/>
    <n v="646.74"/>
    <n v="6"/>
    <n v="0"/>
    <n v="258.69600000000003"/>
  </r>
  <r>
    <n v="767"/>
    <s v="CA-2016-162775"/>
    <d v="2016-01-13T00:00:00"/>
    <s v="Second Class"/>
    <s v="Chris Selesnick"/>
    <s v="Bossier City"/>
    <s v="Louisiana"/>
    <s v="South"/>
    <s v="Office Supplies"/>
    <s v="Binders"/>
    <s v="3-ring staple pack"/>
    <n v="5.64"/>
    <n v="3"/>
    <n v="0"/>
    <n v="2.7071999999999994"/>
  </r>
  <r>
    <n v="768"/>
    <s v="CA-2016-162775"/>
    <d v="2016-01-13T00:00:00"/>
    <s v="Second Class"/>
    <s v="Chris Selesnick"/>
    <s v="Bossier City"/>
    <s v="Louisiana"/>
    <s v="South"/>
    <s v="Office Supplies"/>
    <s v="Storage"/>
    <s v="Fellowes Stor/Drawer Steel Plus Storage Drawers"/>
    <n v="572.58000000000004"/>
    <n v="6"/>
    <n v="0"/>
    <n v="34.354799999999955"/>
  </r>
  <r>
    <n v="769"/>
    <s v="CA-2016-106810"/>
    <d v="2016-05-14T00:00:00"/>
    <s v="Standard Class"/>
    <s v="Anthony Johnson"/>
    <s v="Saint Petersburg"/>
    <s v="Florida"/>
    <s v="South"/>
    <s v="Furniture"/>
    <s v="Furnishings"/>
    <s v="Electrix Halogen Magnifier Lamp"/>
    <n v="310.88000000000005"/>
    <n v="2"/>
    <n v="0.2"/>
    <n v="23.315999999999988"/>
  </r>
  <r>
    <n v="770"/>
    <s v="CA-2018-157245"/>
    <d v="2018-05-19T00:00:00"/>
    <s v="Standard Class"/>
    <s v="Laurel Elliston"/>
    <s v="Arlington"/>
    <s v="Virginia"/>
    <s v="South"/>
    <s v="Furniture"/>
    <s v="Chairs"/>
    <s v="Hon 4070 Series Pagoda Round Back Stacking Chairs"/>
    <n v="641.96"/>
    <n v="2"/>
    <n v="0"/>
    <n v="179.74880000000002"/>
  </r>
  <r>
    <n v="771"/>
    <s v="CA-2019-104220"/>
    <d v="2019-01-30T00:00:00"/>
    <s v="Standard Class"/>
    <s v="Benjamin Venier"/>
    <s v="Des Moines"/>
    <s v="Iowa"/>
    <s v="Central"/>
    <s v="Office Supplies"/>
    <s v="Binders"/>
    <s v="Cardinal EasyOpen D-Ring Binders"/>
    <n v="18.28"/>
    <n v="2"/>
    <n v="0"/>
    <n v="9.14"/>
  </r>
  <r>
    <n v="772"/>
    <s v="CA-2019-104220"/>
    <d v="2019-01-30T00:00:00"/>
    <s v="Standard Class"/>
    <s v="Benjamin Venier"/>
    <s v="Des Moines"/>
    <s v="Iowa"/>
    <s v="Central"/>
    <s v="Technology"/>
    <s v="Phones"/>
    <s v="AT&amp;T 841000 Phone"/>
    <n v="207"/>
    <n v="3"/>
    <n v="0"/>
    <n v="51.75"/>
  </r>
  <r>
    <n v="773"/>
    <s v="CA-2019-104220"/>
    <d v="2019-01-30T00:00:00"/>
    <s v="Standard Class"/>
    <s v="Benjamin Venier"/>
    <s v="Des Moines"/>
    <s v="Iowa"/>
    <s v="Central"/>
    <s v="Office Supplies"/>
    <s v="Binders"/>
    <s v="GBC Instant Report Kit"/>
    <n v="32.35"/>
    <n v="5"/>
    <n v="0"/>
    <n v="16.175000000000001"/>
  </r>
  <r>
    <n v="774"/>
    <s v="CA-2019-104220"/>
    <d v="2019-01-30T00:00:00"/>
    <s v="Standard Class"/>
    <s v="Benjamin Venier"/>
    <s v="Des Moines"/>
    <s v="Iowa"/>
    <s v="Central"/>
    <s v="Office Supplies"/>
    <s v="Binders"/>
    <s v="DXL Angle-View Binders with Locking Rings by Samsill"/>
    <n v="7.71"/>
    <n v="1"/>
    <n v="0"/>
    <n v="3.4695"/>
  </r>
  <r>
    <n v="775"/>
    <s v="CA-2019-104220"/>
    <d v="2019-01-30T00:00:00"/>
    <s v="Standard Class"/>
    <s v="Benjamin Venier"/>
    <s v="Des Moines"/>
    <s v="Iowa"/>
    <s v="Central"/>
    <s v="Office Supplies"/>
    <s v="Art"/>
    <s v="Boston 19500 Mighty Mite Electric Pencil Sharpener"/>
    <n v="40.299999999999997"/>
    <n v="2"/>
    <n v="0"/>
    <n v="10.881"/>
  </r>
  <r>
    <n v="776"/>
    <s v="CA-2019-104220"/>
    <d v="2019-01-30T00:00:00"/>
    <s v="Standard Class"/>
    <s v="Benjamin Venier"/>
    <s v="Des Moines"/>
    <s v="Iowa"/>
    <s v="Central"/>
    <s v="Furniture"/>
    <s v="Furnishings"/>
    <s v="C-Line Magnetic Cubicle Keepers, Clear Polypropylene"/>
    <n v="34.580000000000005"/>
    <n v="7"/>
    <n v="0"/>
    <n v="14.523600000000002"/>
  </r>
  <r>
    <n v="777"/>
    <s v="CA-2016-165974"/>
    <d v="2016-06-29T00:00:00"/>
    <s v="Standard Class"/>
    <s v="Dan Lawera"/>
    <s v="Cincinnati"/>
    <s v="Ohio"/>
    <s v="East"/>
    <s v="Office Supplies"/>
    <s v="Art"/>
    <s v="Dixon My First Ticonderoga Pencil, #2"/>
    <n v="32.76"/>
    <n v="7"/>
    <n v="0.2"/>
    <n v="3.6854999999999958"/>
  </r>
  <r>
    <n v="778"/>
    <s v="CA-2017-144267"/>
    <d v="2017-08-21T00:00:00"/>
    <s v="First Class"/>
    <s v="Nick Zandusky"/>
    <s v="San Francisco"/>
    <s v="California"/>
    <s v="West"/>
    <s v="Furniture"/>
    <s v="Chairs"/>
    <s v="Hon GuestStacker Chair"/>
    <n v="544.00800000000004"/>
    <n v="3"/>
    <n v="0.2"/>
    <n v="40.800600000000003"/>
  </r>
  <r>
    <n v="779"/>
    <s v="CA-2017-144267"/>
    <d v="2017-08-21T00:00:00"/>
    <s v="First Class"/>
    <s v="Nick Zandusky"/>
    <s v="San Francisco"/>
    <s v="California"/>
    <s v="West"/>
    <s v="Office Supplies"/>
    <s v="Paper"/>
    <s v="Xerox 191"/>
    <n v="59.94"/>
    <n v="3"/>
    <n v="0"/>
    <n v="28.171799999999998"/>
  </r>
  <r>
    <n v="780"/>
    <s v="CA-2017-144267"/>
    <d v="2017-08-21T00:00:00"/>
    <s v="First Class"/>
    <s v="Nick Zandusky"/>
    <s v="San Francisco"/>
    <s v="California"/>
    <s v="West"/>
    <s v="Office Supplies"/>
    <s v="Paper"/>
    <s v="Xerox 1974"/>
    <n v="23.92"/>
    <n v="4"/>
    <n v="0"/>
    <n v="11.720800000000001"/>
  </r>
  <r>
    <n v="781"/>
    <s v="CA-2017-144267"/>
    <d v="2017-08-21T00:00:00"/>
    <s v="First Class"/>
    <s v="Nick Zandusky"/>
    <s v="San Francisco"/>
    <s v="California"/>
    <s v="West"/>
    <s v="Office Supplies"/>
    <s v="Paper"/>
    <s v="Xerox 1927"/>
    <n v="4.28"/>
    <n v="1"/>
    <n v="0"/>
    <n v="1.9259999999999997"/>
  </r>
  <r>
    <n v="782"/>
    <s v="US-2017-157014"/>
    <d v="2017-10-03T00:00:00"/>
    <s v="Second Class"/>
    <s v="Bryan Mills"/>
    <s v="Columbus"/>
    <s v="Ohio"/>
    <s v="East"/>
    <s v="Office Supplies"/>
    <s v="Binders"/>
    <s v="Acco D-Ring Binder w/DublLock"/>
    <n v="32.07"/>
    <n v="5"/>
    <n v="0.7"/>
    <n v="-22.448999999999991"/>
  </r>
  <r>
    <n v="783"/>
    <s v="US-2017-157014"/>
    <d v="2017-10-03T00:00:00"/>
    <s v="Second Class"/>
    <s v="Bryan Mills"/>
    <s v="Columbus"/>
    <s v="Ohio"/>
    <s v="East"/>
    <s v="Technology"/>
    <s v="Accessories"/>
    <s v="Imation 8gb Micro Traveldrive Usb 2.0 Flash Drive"/>
    <n v="24"/>
    <n v="2"/>
    <n v="0.2"/>
    <n v="-2.6999999999999993"/>
  </r>
  <r>
    <n v="784"/>
    <s v="US-2017-157014"/>
    <d v="2017-10-03T00:00:00"/>
    <s v="Second Class"/>
    <s v="Bryan Mills"/>
    <s v="Columbus"/>
    <s v="Ohio"/>
    <s v="East"/>
    <s v="Furniture"/>
    <s v="Bookcases"/>
    <s v="Safco Value Mate Series Steel Bookcases, Baked Enamel Finish on Steel, Gray"/>
    <n v="35.49"/>
    <n v="1"/>
    <n v="0.5"/>
    <n v="-15.615600000000001"/>
  </r>
  <r>
    <n v="785"/>
    <s v="US-2017-157014"/>
    <d v="2017-10-03T00:00:00"/>
    <s v="Second Class"/>
    <s v="Bryan Mills"/>
    <s v="Columbus"/>
    <s v="Ohio"/>
    <s v="East"/>
    <s v="Technology"/>
    <s v="Accessories"/>
    <s v="Microsoft Natural Ergonomic Keyboard 4000"/>
    <n v="47.984000000000002"/>
    <n v="2"/>
    <n v="0.2"/>
    <n v="0.59979999999999656"/>
  </r>
  <r>
    <n v="786"/>
    <s v="CA-2017-154921"/>
    <d v="2017-05-23T00:00:00"/>
    <s v="Standard Class"/>
    <s v="Erin Ashbrook"/>
    <s v="Columbia"/>
    <s v="South Carolina"/>
    <s v="South"/>
    <s v="Office Supplies"/>
    <s v="Envelopes"/>
    <s v="Cameo Buff Policy Envelopes"/>
    <n v="186.69"/>
    <n v="3"/>
    <n v="0"/>
    <n v="87.744299999999981"/>
  </r>
  <r>
    <n v="787"/>
    <s v="CA-2019-129567"/>
    <d v="2019-03-17T00:00:00"/>
    <s v="Second Class"/>
    <s v="Clay Ludtke"/>
    <s v="Lancaster"/>
    <s v="California"/>
    <s v="West"/>
    <s v="Office Supplies"/>
    <s v="Binders"/>
    <s v="Heavy-Duty E-Z-D Binders"/>
    <n v="17.456"/>
    <n v="2"/>
    <n v="0.2"/>
    <n v="5.8914"/>
  </r>
  <r>
    <n v="788"/>
    <s v="CA-2017-154620"/>
    <d v="2017-12-12T00:00:00"/>
    <s v="Standard Class"/>
    <s v="Liz Thompson"/>
    <s v="Lancaster"/>
    <s v="California"/>
    <s v="West"/>
    <s v="Furniture"/>
    <s v="Chairs"/>
    <s v="Lifetime Advantage Folding Chairs, 4/Carton"/>
    <n v="348.92800000000005"/>
    <n v="2"/>
    <n v="0.2"/>
    <n v="34.89279999999998"/>
  </r>
  <r>
    <n v="789"/>
    <s v="CA-2017-115938"/>
    <d v="2017-06-26T00:00:00"/>
    <s v="Standard Class"/>
    <s v="Sue Ann Reed"/>
    <s v="Richmond"/>
    <s v="Virginia"/>
    <s v="South"/>
    <s v="Office Supplies"/>
    <s v="Binders"/>
    <s v="GBC VeloBinder Manual Binding System"/>
    <n v="143.96"/>
    <n v="4"/>
    <n v="0"/>
    <n v="69.100800000000007"/>
  </r>
  <r>
    <n v="790"/>
    <s v="CA-2017-115938"/>
    <d v="2017-06-26T00:00:00"/>
    <s v="Standard Class"/>
    <s v="Sue Ann Reed"/>
    <s v="Richmond"/>
    <s v="Virginia"/>
    <s v="South"/>
    <s v="Office Supplies"/>
    <s v="Storage"/>
    <s v="Decoflex Hanging Personal Folder File, Blue"/>
    <n v="15.42"/>
    <n v="1"/>
    <n v="0"/>
    <n v="4.1634000000000011"/>
  </r>
  <r>
    <n v="791"/>
    <s v="CA-2017-115938"/>
    <d v="2017-06-26T00:00:00"/>
    <s v="Standard Class"/>
    <s v="Sue Ann Reed"/>
    <s v="Richmond"/>
    <s v="Virginia"/>
    <s v="South"/>
    <s v="Office Supplies"/>
    <s v="Binders"/>
    <s v="Acco PRESSTEX Data Binder with Storage Hooks, Dark Blue, 9 1/2&quot; X 11&quot;"/>
    <n v="43.04"/>
    <n v="8"/>
    <n v="0"/>
    <n v="21.089600000000001"/>
  </r>
  <r>
    <n v="792"/>
    <s v="CA-2017-115938"/>
    <d v="2017-06-26T00:00:00"/>
    <s v="Standard Class"/>
    <s v="Sue Ann Reed"/>
    <s v="Richmond"/>
    <s v="Virginia"/>
    <s v="South"/>
    <s v="Furniture"/>
    <s v="Chairs"/>
    <s v="Office Star - Contemporary Task Swivel Chair"/>
    <n v="332.94"/>
    <n v="3"/>
    <n v="0"/>
    <n v="79.905599999999993"/>
  </r>
  <r>
    <n v="793"/>
    <s v="CA-2018-105256"/>
    <d v="2018-05-20T00:00:00"/>
    <s v="Same Day"/>
    <s v="Joe Kamberova"/>
    <s v="Asheville"/>
    <s v="North Carolina"/>
    <s v="South"/>
    <s v="Technology"/>
    <s v="Phones"/>
    <s v="Cisco Unified IP Phone 7945G VoIP phone"/>
    <n v="1363.96"/>
    <n v="5"/>
    <n v="0.2"/>
    <n v="85.247500000000002"/>
  </r>
  <r>
    <n v="794"/>
    <s v="CA-2016-156433"/>
    <d v="2016-09-20T00:00:00"/>
    <s v="Standard Class"/>
    <s v="Erica Smith"/>
    <s v="San Francisco"/>
    <s v="California"/>
    <s v="West"/>
    <s v="Office Supplies"/>
    <s v="Labels"/>
    <s v="Avery 499"/>
    <n v="9.9600000000000009"/>
    <n v="2"/>
    <n v="0"/>
    <n v="4.5815999999999999"/>
  </r>
  <r>
    <n v="795"/>
    <s v="CA-2016-156433"/>
    <d v="2016-09-20T00:00:00"/>
    <s v="Standard Class"/>
    <s v="Erica Smith"/>
    <s v="San Francisco"/>
    <s v="California"/>
    <s v="West"/>
    <s v="Office Supplies"/>
    <s v="Paper"/>
    <s v="Wirebound Message Book, 4 per Page"/>
    <n v="21.72"/>
    <n v="4"/>
    <n v="0"/>
    <n v="10.642799999999999"/>
  </r>
  <r>
    <n v="796"/>
    <s v="CA-2019-151428"/>
    <d v="2019-09-21T00:00:00"/>
    <s v="Standard Class"/>
    <s v="Rick Hansen"/>
    <s v="Rochester"/>
    <s v="Minnesota"/>
    <s v="Central"/>
    <s v="Office Supplies"/>
    <s v="Binders"/>
    <s v="Avery Durable Binders"/>
    <n v="20.16"/>
    <n v="7"/>
    <n v="0"/>
    <n v="9.8783999999999992"/>
  </r>
  <r>
    <n v="797"/>
    <s v="CA-2017-124653"/>
    <d v="2017-12-24T00:00:00"/>
    <s v="First Class"/>
    <s v="David Bremer"/>
    <s v="Rochester"/>
    <s v="New York"/>
    <s v="East"/>
    <s v="Office Supplies"/>
    <s v="Paper"/>
    <s v="Xerox 1887"/>
    <n v="132.79"/>
    <n v="7"/>
    <n v="0"/>
    <n v="63.739199999999997"/>
  </r>
  <r>
    <n v="798"/>
    <s v="CA-2017-124653"/>
    <d v="2017-12-24T00:00:00"/>
    <s v="First Class"/>
    <s v="David Bremer"/>
    <s v="Rochester"/>
    <s v="New York"/>
    <s v="East"/>
    <s v="Office Supplies"/>
    <s v="Paper"/>
    <s v="Xerox 1967"/>
    <n v="12.96"/>
    <n v="2"/>
    <n v="0"/>
    <n v="6.2208000000000006"/>
  </r>
  <r>
    <n v="799"/>
    <s v="CA-2017-124653"/>
    <d v="2017-12-24T00:00:00"/>
    <s v="First Class"/>
    <s v="David Bremer"/>
    <s v="Rochester"/>
    <s v="New York"/>
    <s v="East"/>
    <s v="Office Supplies"/>
    <s v="Labels"/>
    <s v="Smead Alpha-Z Color-Coded Second Alphabetical Labels and Starter Set"/>
    <n v="21.560000000000002"/>
    <n v="7"/>
    <n v="0"/>
    <n v="10.348799999999999"/>
  </r>
  <r>
    <n v="800"/>
    <s v="CA-2017-101910"/>
    <d v="2017-11-27T00:00:00"/>
    <s v="Standard Class"/>
    <s v="Carlos Daly"/>
    <s v="Lake Elsinore"/>
    <s v="California"/>
    <s v="West"/>
    <s v="Furniture"/>
    <s v="Chairs"/>
    <s v="Situations Contoured Folding Chairs, 4/Set"/>
    <n v="283.92"/>
    <n v="5"/>
    <n v="0.2"/>
    <n v="17.745000000000019"/>
  </r>
  <r>
    <n v="801"/>
    <s v="CA-2019-105809"/>
    <d v="2019-02-20T00:00:00"/>
    <s v="First Class"/>
    <s v="Helen Wasserman"/>
    <s v="San Diego"/>
    <s v="California"/>
    <s v="West"/>
    <s v="Furniture"/>
    <s v="Furnishings"/>
    <s v="Executive Impressions 14&quot; Contract Wall Clock"/>
    <n v="22.23"/>
    <n v="1"/>
    <n v="0"/>
    <n v="7.3358999999999988"/>
  </r>
  <r>
    <n v="802"/>
    <s v="CA-2019-105809"/>
    <d v="2019-02-20T00:00:00"/>
    <s v="First Class"/>
    <s v="Helen Wasserman"/>
    <s v="San Diego"/>
    <s v="California"/>
    <s v="West"/>
    <s v="Technology"/>
    <s v="Phones"/>
    <s v="Logitech Mobile Speakerphone P710e - speaker phone"/>
    <n v="215.96799999999999"/>
    <n v="2"/>
    <n v="0.2"/>
    <n v="18.897199999999991"/>
  </r>
  <r>
    <n v="803"/>
    <s v="CA-2018-136133"/>
    <d v="2018-08-18T00:00:00"/>
    <s v="Second Class"/>
    <s v="Helen Wasserman"/>
    <s v="New York City"/>
    <s v="New York"/>
    <s v="East"/>
    <s v="Office Supplies"/>
    <s v="Appliances"/>
    <s v="Belkin 7 Outlet SurgeMaster II"/>
    <n v="355.32"/>
    <n v="9"/>
    <n v="0"/>
    <n v="99.48960000000001"/>
  </r>
  <r>
    <n v="804"/>
    <s v="CA-2018-115504"/>
    <d v="2018-03-12T00:00:00"/>
    <s v="Standard Class"/>
    <s v="Mike Caudle"/>
    <s v="Monroe"/>
    <s v="Louisiana"/>
    <s v="South"/>
    <s v="Office Supplies"/>
    <s v="Paper"/>
    <s v="Xerox 218"/>
    <n v="12.96"/>
    <n v="2"/>
    <n v="0"/>
    <n v="6.2208000000000006"/>
  </r>
  <r>
    <n v="805"/>
    <s v="CA-2019-135783"/>
    <d v="2019-04-22T00:00:00"/>
    <s v="First Class"/>
    <s v="Gary McGarr"/>
    <s v="San Francisco"/>
    <s v="California"/>
    <s v="West"/>
    <s v="Furniture"/>
    <s v="Furnishings"/>
    <s v="Eldon Stackable Tray, Side-Load, Legal, Smoke"/>
    <n v="18.28"/>
    <n v="2"/>
    <n v="0"/>
    <n v="6.2151999999999994"/>
  </r>
  <r>
    <n v="806"/>
    <s v="CA-2016-134313"/>
    <d v="2016-11-01T00:00:00"/>
    <s v="Standard Class"/>
    <s v="Russell Applegate"/>
    <s v="Denver"/>
    <s v="Colorado"/>
    <s v="West"/>
    <s v="Office Supplies"/>
    <s v="Art"/>
    <s v="Model L Table or Wall-Mount Pencil Sharpener"/>
    <n v="43.176000000000002"/>
    <n v="3"/>
    <n v="0.2"/>
    <n v="4.3176000000000005"/>
  </r>
  <r>
    <n v="807"/>
    <s v="CA-2016-134313"/>
    <d v="2016-11-01T00:00:00"/>
    <s v="Standard Class"/>
    <s v="Russell Applegate"/>
    <s v="Denver"/>
    <s v="Colorado"/>
    <s v="West"/>
    <s v="Technology"/>
    <s v="Phones"/>
    <s v="ClearOne CHATAttach 160 - speaker phone"/>
    <n v="1983.9680000000001"/>
    <n v="4"/>
    <n v="0.2"/>
    <n v="247.99599999999981"/>
  </r>
  <r>
    <n v="808"/>
    <s v="CA-2017-140921"/>
    <d v="2017-02-03T00:00:00"/>
    <s v="First Class"/>
    <s v="Allen Armold"/>
    <s v="Omaha"/>
    <s v="Nebraska"/>
    <s v="Central"/>
    <s v="Furniture"/>
    <s v="Furnishings"/>
    <s v="Coloredge Poster Frame"/>
    <n v="28.4"/>
    <n v="2"/>
    <n v="0"/>
    <n v="11.076000000000001"/>
  </r>
  <r>
    <n v="809"/>
    <s v="CA-2017-140921"/>
    <d v="2017-02-03T00:00:00"/>
    <s v="First Class"/>
    <s v="Allen Armold"/>
    <s v="Omaha"/>
    <s v="Nebraska"/>
    <s v="Central"/>
    <s v="Technology"/>
    <s v="Accessories"/>
    <s v="Kensington SlimBlade Notebook Wireless Mouse with Nano Receiver"/>
    <n v="149.97"/>
    <n v="3"/>
    <n v="0"/>
    <n v="50.989800000000002"/>
  </r>
  <r>
    <n v="810"/>
    <s v="CA-2016-151995"/>
    <d v="2016-10-13T00:00:00"/>
    <s v="First Class"/>
    <s v="Zuschuss Carroll"/>
    <s v="Edmonds"/>
    <s v="Washington"/>
    <s v="West"/>
    <s v="Office Supplies"/>
    <s v="Art"/>
    <s v="Newell 32"/>
    <n v="11.52"/>
    <n v="4"/>
    <n v="0"/>
    <n v="3.2256"/>
  </r>
  <r>
    <n v="811"/>
    <s v="CA-2016-151995"/>
    <d v="2016-10-13T00:00:00"/>
    <s v="First Class"/>
    <s v="Zuschuss Carroll"/>
    <s v="Edmonds"/>
    <s v="Washington"/>
    <s v="West"/>
    <s v="Furniture"/>
    <s v="Tables"/>
    <s v="Bevis Round Bullnose 29&quot; High Table Top"/>
    <n v="1298.55"/>
    <n v="5"/>
    <n v="0"/>
    <n v="311.65199999999999"/>
  </r>
  <r>
    <n v="812"/>
    <s v="CA-2016-151995"/>
    <d v="2016-10-13T00:00:00"/>
    <s v="First Class"/>
    <s v="Zuschuss Carroll"/>
    <s v="Edmonds"/>
    <s v="Washington"/>
    <s v="West"/>
    <s v="Office Supplies"/>
    <s v="Appliances"/>
    <s v="Belkin F9G930V10-GRY 9 Outlet Surge"/>
    <n v="213.92"/>
    <n v="4"/>
    <n v="0"/>
    <n v="62.036799999999971"/>
  </r>
  <r>
    <n v="813"/>
    <s v="CA-2016-151995"/>
    <d v="2016-10-13T00:00:00"/>
    <s v="First Class"/>
    <s v="Zuschuss Carroll"/>
    <s v="Edmonds"/>
    <s v="Washington"/>
    <s v="West"/>
    <s v="Technology"/>
    <s v="Accessories"/>
    <s v="Sony 16GB Class 10 Micro SDHC R40 Memory Card"/>
    <n v="25.78"/>
    <n v="2"/>
    <n v="0"/>
    <n v="2.5779999999999994"/>
  </r>
  <r>
    <n v="814"/>
    <s v="CA-2019-143686"/>
    <d v="2019-05-14T00:00:00"/>
    <s v="Same Day"/>
    <s v="Pauline Johnson"/>
    <s v="Santa Ana"/>
    <s v="California"/>
    <s v="West"/>
    <s v="Furniture"/>
    <s v="Furnishings"/>
    <s v="Eldon Stackable Tray, Side-Load, Legal, Smoke"/>
    <n v="18.28"/>
    <n v="2"/>
    <n v="0"/>
    <n v="6.2151999999999994"/>
  </r>
  <r>
    <n v="815"/>
    <s v="CA-2019-143686"/>
    <d v="2019-05-14T00:00:00"/>
    <s v="Same Day"/>
    <s v="Pauline Johnson"/>
    <s v="Santa Ana"/>
    <s v="California"/>
    <s v="West"/>
    <s v="Technology"/>
    <s v="Accessories"/>
    <s v="Razer Tiamat Over Ear 7.1 Surround Sound PC Gaming Headset"/>
    <n v="1399.93"/>
    <n v="7"/>
    <n v="0"/>
    <n v="601.96990000000005"/>
  </r>
  <r>
    <n v="816"/>
    <s v="CA-2017-106565"/>
    <d v="2017-03-20T00:00:00"/>
    <s v="First Class"/>
    <s v="Bart Watters"/>
    <s v="Milwaukee"/>
    <s v="Wisconsin"/>
    <s v="Central"/>
    <s v="Office Supplies"/>
    <s v="Paper"/>
    <s v="Xerox 205"/>
    <n v="51.84"/>
    <n v="8"/>
    <n v="0"/>
    <n v="24.883200000000002"/>
  </r>
  <r>
    <n v="817"/>
    <s v="CA-2018-149370"/>
    <d v="2018-09-15T00:00:00"/>
    <s v="Standard Class"/>
    <s v="Dean Braden"/>
    <s v="Philadelphia"/>
    <s v="Pennsylvania"/>
    <s v="East"/>
    <s v="Office Supplies"/>
    <s v="Paper"/>
    <s v="Xerox 1968"/>
    <n v="5.3440000000000003"/>
    <n v="1"/>
    <n v="0.2"/>
    <n v="1.8703999999999998"/>
  </r>
  <r>
    <n v="818"/>
    <s v="CA-2016-140858"/>
    <d v="2016-06-28T00:00:00"/>
    <s v="Standard Class"/>
    <s v="Cynthia Arntzen"/>
    <s v="Philadelphia"/>
    <s v="Pennsylvania"/>
    <s v="East"/>
    <s v="Office Supplies"/>
    <s v="Paper"/>
    <s v="Xerox 1995"/>
    <n v="41.472000000000008"/>
    <n v="8"/>
    <n v="0.2"/>
    <n v="14.5152"/>
  </r>
  <r>
    <n v="819"/>
    <s v="CA-2016-140858"/>
    <d v="2016-06-28T00:00:00"/>
    <s v="Standard Class"/>
    <s v="Cynthia Arntzen"/>
    <s v="Philadelphia"/>
    <s v="Pennsylvania"/>
    <s v="East"/>
    <s v="Office Supplies"/>
    <s v="Binders"/>
    <s v="Self-Adhesive Ring Binder Labels"/>
    <n v="3.168000000000001"/>
    <n v="3"/>
    <n v="0.7"/>
    <n v="-2.4287999999999998"/>
  </r>
  <r>
    <n v="820"/>
    <s v="CA-2016-140858"/>
    <d v="2016-06-28T00:00:00"/>
    <s v="Standard Class"/>
    <s v="Cynthia Arntzen"/>
    <s v="Philadelphia"/>
    <s v="Pennsylvania"/>
    <s v="East"/>
    <s v="Furniture"/>
    <s v="Chairs"/>
    <s v="Global Leather Executive Chair"/>
    <n v="1228.4649999999999"/>
    <n v="5"/>
    <n v="0.3"/>
    <n v="0"/>
  </r>
  <r>
    <n v="821"/>
    <s v="CA-2016-140858"/>
    <d v="2016-06-28T00:00:00"/>
    <s v="Standard Class"/>
    <s v="Cynthia Arntzen"/>
    <s v="Philadelphia"/>
    <s v="Pennsylvania"/>
    <s v="East"/>
    <s v="Office Supplies"/>
    <s v="Binders"/>
    <s v="GBC Recycled Grain Textured Covers"/>
    <n v="31.086000000000006"/>
    <n v="3"/>
    <n v="0.7"/>
    <n v="-22.796399999999991"/>
  </r>
  <r>
    <n v="822"/>
    <s v="CA-2016-140858"/>
    <d v="2016-06-28T00:00:00"/>
    <s v="Standard Class"/>
    <s v="Cynthia Arntzen"/>
    <s v="Philadelphia"/>
    <s v="Pennsylvania"/>
    <s v="East"/>
    <s v="Office Supplies"/>
    <s v="Paper"/>
    <s v="Xerox 1941"/>
    <n v="335.52"/>
    <n v="4"/>
    <n v="0.2"/>
    <n v="117.43199999999999"/>
  </r>
  <r>
    <n v="823"/>
    <s v="CA-2019-101434"/>
    <d v="2019-06-20T00:00:00"/>
    <s v="Standard Class"/>
    <s v="Toby Ritter"/>
    <s v="Belleville"/>
    <s v="New Jersey"/>
    <s v="East"/>
    <s v="Technology"/>
    <s v="Accessories"/>
    <s v="Razer Kraken PRO Over Ear PC and Music Headset"/>
    <n v="239.96999999999997"/>
    <n v="3"/>
    <n v="0"/>
    <n v="71.990999999999985"/>
  </r>
  <r>
    <n v="824"/>
    <s v="CA-2019-101434"/>
    <d v="2019-06-20T00:00:00"/>
    <s v="Standard Class"/>
    <s v="Toby Ritter"/>
    <s v="Belleville"/>
    <s v="New Jersey"/>
    <s v="East"/>
    <s v="Office Supplies"/>
    <s v="Labels"/>
    <s v="Avery 508"/>
    <n v="9.82"/>
    <n v="2"/>
    <n v="0"/>
    <n v="4.8117999999999999"/>
  </r>
  <r>
    <n v="825"/>
    <s v="US-2016-102071"/>
    <d v="2016-05-09T00:00:00"/>
    <s v="Standard Class"/>
    <s v="Patrick Gardner"/>
    <s v="San Francisco"/>
    <s v="California"/>
    <s v="West"/>
    <s v="Technology"/>
    <s v="Accessories"/>
    <s v="Kingston Digital DataTraveler 32GB USB 2.0"/>
    <n v="67.8"/>
    <n v="4"/>
    <n v="0"/>
    <n v="4.0679999999999978"/>
  </r>
  <r>
    <n v="826"/>
    <s v="US-2016-102071"/>
    <d v="2016-05-09T00:00:00"/>
    <s v="Standard Class"/>
    <s v="Patrick Gardner"/>
    <s v="San Francisco"/>
    <s v="California"/>
    <s v="West"/>
    <s v="Technology"/>
    <s v="Accessories"/>
    <s v="Sony Micro Vault Click 16 GB USB 2.0 Flash Drive"/>
    <n v="167.97"/>
    <n v="3"/>
    <n v="0"/>
    <n v="40.31280000000001"/>
  </r>
  <r>
    <n v="827"/>
    <s v="CA-2019-126956"/>
    <d v="2019-08-21T00:00:00"/>
    <s v="Standard Class"/>
    <s v="Greg Tran"/>
    <s v="Lakeville"/>
    <s v="Minnesota"/>
    <s v="Central"/>
    <s v="Office Supplies"/>
    <s v="Fasteners"/>
    <s v="Advantus Plastic Paper Clips"/>
    <n v="35"/>
    <n v="7"/>
    <n v="0"/>
    <n v="16.8"/>
  </r>
  <r>
    <n v="828"/>
    <s v="CA-2019-126956"/>
    <d v="2019-08-21T00:00:00"/>
    <s v="Standard Class"/>
    <s v="Greg Tran"/>
    <s v="Lakeville"/>
    <s v="Minnesota"/>
    <s v="Central"/>
    <s v="Office Supplies"/>
    <s v="Supplies"/>
    <s v="Acme Forged Steel Scissors with Black Enamel Handles"/>
    <n v="37.24"/>
    <n v="4"/>
    <n v="0"/>
    <n v="10.799599999999998"/>
  </r>
  <r>
    <n v="829"/>
    <s v="CA-2019-126956"/>
    <d v="2019-08-21T00:00:00"/>
    <s v="Standard Class"/>
    <s v="Greg Tran"/>
    <s v="Lakeville"/>
    <s v="Minnesota"/>
    <s v="Central"/>
    <s v="Office Supplies"/>
    <s v="Envelopes"/>
    <s v="Security-Tint Envelopes"/>
    <n v="15.28"/>
    <n v="2"/>
    <n v="0"/>
    <n v="7.4871999999999996"/>
  </r>
  <r>
    <n v="830"/>
    <s v="CA-2019-129462"/>
    <d v="2019-06-16T00:00:00"/>
    <s v="Second Class"/>
    <s v="Joel Eaton"/>
    <s v="Florence"/>
    <s v="Kentucky"/>
    <s v="South"/>
    <s v="Furniture"/>
    <s v="Chairs"/>
    <s v="Global Airflow Leather Mesh Back Chair, Black"/>
    <n v="301.95999999999998"/>
    <n v="2"/>
    <n v="0"/>
    <n v="90.587999999999965"/>
  </r>
  <r>
    <n v="831"/>
    <s v="CA-2019-129462"/>
    <d v="2019-06-16T00:00:00"/>
    <s v="Second Class"/>
    <s v="Joel Eaton"/>
    <s v="Florence"/>
    <s v="Kentucky"/>
    <s v="South"/>
    <s v="Office Supplies"/>
    <s v="Appliances"/>
    <s v="Fellowes Smart Surge Ten-Outlet Protector, Platinum"/>
    <n v="180.66"/>
    <n v="3"/>
    <n v="0"/>
    <n v="50.584800000000008"/>
  </r>
  <r>
    <n v="832"/>
    <s v="CA-2019-129462"/>
    <d v="2019-06-16T00:00:00"/>
    <s v="Second Class"/>
    <s v="Joel Eaton"/>
    <s v="Florence"/>
    <s v="Kentucky"/>
    <s v="South"/>
    <s v="Technology"/>
    <s v="Phones"/>
    <s v="Pyle PMP37LED"/>
    <n v="191.98"/>
    <n v="2"/>
    <n v="0"/>
    <n v="51.834599999999995"/>
  </r>
  <r>
    <n v="833"/>
    <s v="CA-2019-129462"/>
    <d v="2019-06-16T00:00:00"/>
    <s v="Second Class"/>
    <s v="Joel Eaton"/>
    <s v="Florence"/>
    <s v="Kentucky"/>
    <s v="South"/>
    <s v="Technology"/>
    <s v="Phones"/>
    <s v="Clarity 53712"/>
    <n v="65.989999999999995"/>
    <n v="1"/>
    <n v="0"/>
    <n v="17.157400000000003"/>
  </r>
  <r>
    <n v="834"/>
    <s v="CA-2018-165316"/>
    <d v="2018-07-23T00:00:00"/>
    <s v="Standard Class"/>
    <s v="Jennifer Braxton"/>
    <s v="Tampa"/>
    <s v="Florida"/>
    <s v="South"/>
    <s v="Office Supplies"/>
    <s v="Art"/>
    <s v="Boston 16801 Nautilus Battery Pencil Sharpener"/>
    <n v="35.216000000000001"/>
    <n v="2"/>
    <n v="0.2"/>
    <n v="2.6411999999999995"/>
  </r>
  <r>
    <n v="835"/>
    <s v="CA-2018-165316"/>
    <d v="2018-07-23T00:00:00"/>
    <s v="Standard Class"/>
    <s v="Jennifer Braxton"/>
    <s v="Tampa"/>
    <s v="Florida"/>
    <s v="South"/>
    <s v="Office Supplies"/>
    <s v="Appliances"/>
    <s v="Holmes Replacement Filter for HEPA Air Cleaner, Large Room"/>
    <n v="23.696000000000002"/>
    <n v="2"/>
    <n v="0.2"/>
    <n v="6.5164"/>
  </r>
  <r>
    <n v="836"/>
    <s v="CA-2018-165316"/>
    <d v="2018-07-23T00:00:00"/>
    <s v="Standard Class"/>
    <s v="Jennifer Braxton"/>
    <s v="Tampa"/>
    <s v="Florida"/>
    <s v="South"/>
    <s v="Technology"/>
    <s v="Machines"/>
    <s v="Zebra GX420t Direct Thermal/Thermal Transfer Printer"/>
    <n v="265.47500000000002"/>
    <n v="1"/>
    <n v="0.5"/>
    <n v="-111.49950000000007"/>
  </r>
  <r>
    <n v="837"/>
    <s v="US-2016-115987"/>
    <d v="2016-09-08T00:00:00"/>
    <s v="Second Class"/>
    <s v="Lisa Hazard"/>
    <s v="Tyler"/>
    <s v="Texas"/>
    <s v="Central"/>
    <s v="Office Supplies"/>
    <s v="Binders"/>
    <s v="GBC ProClick Punch Binding System"/>
    <n v="51.183999999999983"/>
    <n v="4"/>
    <n v="0.8"/>
    <n v="-79.335199999999986"/>
  </r>
  <r>
    <n v="838"/>
    <s v="US-2019-156083"/>
    <d v="2019-11-04T00:00:00"/>
    <s v="Standard Class"/>
    <s v="James Lanier"/>
    <s v="Columbia"/>
    <s v="Tennessee"/>
    <s v="South"/>
    <s v="Office Supplies"/>
    <s v="Paper"/>
    <s v="Adams Telephone Message Books, 5 1/4” x 11”"/>
    <n v="9.6640000000000015"/>
    <n v="2"/>
    <n v="0.2"/>
    <n v="3.2615999999999996"/>
  </r>
  <r>
    <n v="839"/>
    <s v="US-2018-137547"/>
    <d v="2018-03-07T00:00:00"/>
    <s v="Standard Class"/>
    <s v="Ed Braxton"/>
    <s v="Fort Worth"/>
    <s v="Texas"/>
    <s v="Central"/>
    <s v="Technology"/>
    <s v="Phones"/>
    <s v="Belkin Grip Candy Sheer Case / Cover for iPhone 5 and 5S"/>
    <n v="21.071999999999999"/>
    <n v="3"/>
    <n v="0.2"/>
    <n v="1.5804"/>
  </r>
  <r>
    <n v="840"/>
    <s v="CA-2017-100454"/>
    <d v="2017-11-20T00:00:00"/>
    <s v="Standard Class"/>
    <s v="Brian Moss"/>
    <s v="New York City"/>
    <s v="New York"/>
    <s v="East"/>
    <s v="Office Supplies"/>
    <s v="Art"/>
    <s v="Boston 19500 Mighty Mite Electric Pencil Sharpener"/>
    <n v="60.449999999999996"/>
    <n v="3"/>
    <n v="0"/>
    <n v="16.3215"/>
  </r>
  <r>
    <n v="841"/>
    <s v="CA-2017-100454"/>
    <d v="2017-11-20T00:00:00"/>
    <s v="Standard Class"/>
    <s v="Brian Moss"/>
    <s v="New York City"/>
    <s v="New York"/>
    <s v="East"/>
    <s v="Office Supplies"/>
    <s v="Art"/>
    <s v="Newell 335"/>
    <n v="11.52"/>
    <n v="4"/>
    <n v="0"/>
    <n v="3.3407999999999998"/>
  </r>
  <r>
    <n v="842"/>
    <s v="CA-2017-100454"/>
    <d v="2017-11-20T00:00:00"/>
    <s v="Standard Class"/>
    <s v="Brian Moss"/>
    <s v="New York City"/>
    <s v="New York"/>
    <s v="East"/>
    <s v="Furniture"/>
    <s v="Bookcases"/>
    <s v="O'Sullivan 3-Shelf Heavy-Duty Bookcases"/>
    <n v="186.048"/>
    <n v="4"/>
    <n v="0.2"/>
    <n v="9.3024000000000058"/>
  </r>
  <r>
    <n v="843"/>
    <s v="CA-2018-161669"/>
    <d v="2018-11-07T00:00:00"/>
    <s v="First Class"/>
    <s v="Eudokia Martin"/>
    <s v="Los Angeles"/>
    <s v="California"/>
    <s v="West"/>
    <s v="Office Supplies"/>
    <s v="Binders"/>
    <s v="Fellowes Binding Cases"/>
    <n v="37.44"/>
    <n v="4"/>
    <n v="0.2"/>
    <n v="11.699999999999996"/>
  </r>
  <r>
    <n v="844"/>
    <s v="CA-2018-161669"/>
    <d v="2018-11-07T00:00:00"/>
    <s v="First Class"/>
    <s v="Eudokia Martin"/>
    <s v="Los Angeles"/>
    <s v="California"/>
    <s v="West"/>
    <s v="Office Supplies"/>
    <s v="Binders"/>
    <s v="Ibico Plastic and Wire Spiral Binding Combs"/>
    <n v="26.975999999999999"/>
    <n v="4"/>
    <n v="0.2"/>
    <n v="8.767199999999999"/>
  </r>
  <r>
    <n v="845"/>
    <s v="CA-2018-161669"/>
    <d v="2018-11-07T00:00:00"/>
    <s v="First Class"/>
    <s v="Eudokia Martin"/>
    <s v="Los Angeles"/>
    <s v="California"/>
    <s v="West"/>
    <s v="Office Supplies"/>
    <s v="Supplies"/>
    <s v="Acme Preferred Stainless Steel Scissors"/>
    <n v="11.36"/>
    <n v="2"/>
    <n v="0"/>
    <n v="3.2943999999999996"/>
  </r>
  <r>
    <n v="846"/>
    <s v="CA-2018-161669"/>
    <d v="2018-11-07T00:00:00"/>
    <s v="First Class"/>
    <s v="Eudokia Martin"/>
    <s v="Los Angeles"/>
    <s v="California"/>
    <s v="West"/>
    <s v="Office Supplies"/>
    <s v="Labels"/>
    <s v="Avery 486"/>
    <n v="14.62"/>
    <n v="2"/>
    <n v="0"/>
    <n v="6.8713999999999995"/>
  </r>
  <r>
    <n v="847"/>
    <s v="CA-2017-114300"/>
    <d v="2017-10-13T00:00:00"/>
    <s v="Standard Class"/>
    <s v="Art Foster"/>
    <s v="Louisville"/>
    <s v="Kentucky"/>
    <s v="South"/>
    <s v="Technology"/>
    <s v="Phones"/>
    <s v="I Need's 3d Hello Kitty Hybrid Silicone Case Cover for HTC One X 4g with 3d Hello Kitty Stylus Pen Green/pink"/>
    <n v="83.72"/>
    <n v="7"/>
    <n v="0"/>
    <n v="23.441600000000005"/>
  </r>
  <r>
    <n v="848"/>
    <s v="CA-2017-114300"/>
    <d v="2017-10-13T00:00:00"/>
    <s v="Standard Class"/>
    <s v="Art Foster"/>
    <s v="Louisville"/>
    <s v="Kentucky"/>
    <s v="South"/>
    <s v="Furniture"/>
    <s v="Chairs"/>
    <s v="Global Deluxe Office Fabric Chairs"/>
    <n v="287.94"/>
    <n v="3"/>
    <n v="0"/>
    <n v="77.743800000000022"/>
  </r>
  <r>
    <n v="849"/>
    <s v="CA-2019-107503"/>
    <d v="2019-01-01T00:00:00"/>
    <s v="Standard Class"/>
    <s v="Guy Armstrong"/>
    <s v="Lorain"/>
    <s v="Ohio"/>
    <s v="East"/>
    <s v="Furniture"/>
    <s v="Furnishings"/>
    <s v="Linden 10&quot; Round Wall Clock, Black"/>
    <n v="48.896000000000001"/>
    <n v="4"/>
    <n v="0.2"/>
    <n v="8.5567999999999991"/>
  </r>
  <r>
    <n v="850"/>
    <s v="CA-2016-107755"/>
    <d v="2016-02-07T00:00:00"/>
    <s v="Standard Class"/>
    <s v="Cyma Kinney"/>
    <s v="Linden"/>
    <s v="New Jersey"/>
    <s v="East"/>
    <s v="Technology"/>
    <s v="Accessories"/>
    <s v="Maxell DVD-RAM Discs"/>
    <n v="115.36"/>
    <n v="7"/>
    <n v="0"/>
    <n v="49.604800000000012"/>
  </r>
  <r>
    <n v="851"/>
    <s v="CA-2018-152534"/>
    <d v="2018-06-20T00:00:00"/>
    <s v="Second Class"/>
    <s v="Dave Poirier"/>
    <s v="Salinas"/>
    <s v="California"/>
    <s v="West"/>
    <s v="Office Supplies"/>
    <s v="Art"/>
    <s v="DIXON Oriole Pencils"/>
    <n v="5.16"/>
    <n v="2"/>
    <n v="0"/>
    <n v="1.3416000000000001"/>
  </r>
  <r>
    <n v="852"/>
    <s v="CA-2018-152534"/>
    <d v="2018-06-20T00:00:00"/>
    <s v="Second Class"/>
    <s v="Dave Poirier"/>
    <s v="Salinas"/>
    <s v="California"/>
    <s v="West"/>
    <s v="Office Supplies"/>
    <s v="Paper"/>
    <s v="Xerox 202"/>
    <n v="38.880000000000003"/>
    <n v="6"/>
    <n v="0"/>
    <n v="18.662400000000002"/>
  </r>
  <r>
    <n v="853"/>
    <s v="CA-2018-113747"/>
    <d v="2018-05-28T00:00:00"/>
    <s v="Standard Class"/>
    <s v="Valerie Dominguez"/>
    <s v="Jackson"/>
    <s v="Mississippi"/>
    <s v="South"/>
    <s v="Office Supplies"/>
    <s v="Art"/>
    <s v="Boston School Pro Electric Pencil Sharpener, 1670"/>
    <n v="185.88"/>
    <n v="6"/>
    <n v="0"/>
    <n v="50.187599999999996"/>
  </r>
  <r>
    <n v="854"/>
    <s v="CA-2018-123274"/>
    <d v="2018-02-19T00:00:00"/>
    <s v="Standard Class"/>
    <s v="Greg Tran"/>
    <s v="New York City"/>
    <s v="New York"/>
    <s v="East"/>
    <s v="Furniture"/>
    <s v="Furnishings"/>
    <s v="Executive Impressions 14&quot; Contract Wall Clock"/>
    <n v="44.46"/>
    <n v="2"/>
    <n v="0"/>
    <n v="14.671799999999998"/>
  </r>
  <r>
    <n v="855"/>
    <s v="CA-2018-123274"/>
    <d v="2018-02-19T00:00:00"/>
    <s v="Standard Class"/>
    <s v="Greg Tran"/>
    <s v="New York City"/>
    <s v="New York"/>
    <s v="East"/>
    <s v="Office Supplies"/>
    <s v="Storage"/>
    <s v="Carina Double Wide Media Storage Towers in Natural &amp; Black"/>
    <n v="242.94"/>
    <n v="3"/>
    <n v="0"/>
    <n v="9.7175999999999902"/>
  </r>
  <r>
    <n v="856"/>
    <s v="CA-2016-125612"/>
    <d v="2016-08-03T00:00:00"/>
    <s v="Standard Class"/>
    <s v="Berenike Kampe"/>
    <s v="New York City"/>
    <s v="New York"/>
    <s v="East"/>
    <s v="Office Supplies"/>
    <s v="Paper"/>
    <s v="Xerox 1884"/>
    <n v="39.96"/>
    <n v="2"/>
    <n v="0"/>
    <n v="18.781199999999998"/>
  </r>
  <r>
    <n v="857"/>
    <s v="CA-2016-125612"/>
    <d v="2016-08-03T00:00:00"/>
    <s v="Standard Class"/>
    <s v="Berenike Kampe"/>
    <s v="New York City"/>
    <s v="New York"/>
    <s v="East"/>
    <s v="Office Supplies"/>
    <s v="Supplies"/>
    <s v="Acme Box Cutter Scissors"/>
    <n v="102.30000000000001"/>
    <n v="10"/>
    <n v="0"/>
    <n v="26.598000000000006"/>
  </r>
  <r>
    <n v="858"/>
    <s v="CA-2016-125612"/>
    <d v="2016-08-03T00:00:00"/>
    <s v="Standard Class"/>
    <s v="Berenike Kampe"/>
    <s v="New York City"/>
    <s v="New York"/>
    <s v="East"/>
    <s v="Office Supplies"/>
    <s v="Storage"/>
    <s v="Staple magnet"/>
    <n v="21.36"/>
    <n v="2"/>
    <n v="0"/>
    <n v="5.7672000000000008"/>
  </r>
  <r>
    <n v="859"/>
    <s v="CA-2019-161984"/>
    <d v="2019-04-10T00:00:00"/>
    <s v="Standard Class"/>
    <s v="Sanjit Jacobs"/>
    <s v="New Brunswick"/>
    <s v="New Jersey"/>
    <s v="East"/>
    <s v="Office Supplies"/>
    <s v="Paper"/>
    <s v="Wirebound Message Books, Two 4 1/4&quot; x 5&quot; Forms per Page"/>
    <n v="7.61"/>
    <n v="1"/>
    <n v="0"/>
    <n v="3.5766999999999998"/>
  </r>
  <r>
    <n v="860"/>
    <s v="CA-2019-161984"/>
    <d v="2019-04-10T00:00:00"/>
    <s v="Standard Class"/>
    <s v="Sanjit Jacobs"/>
    <s v="New Brunswick"/>
    <s v="New Jersey"/>
    <s v="East"/>
    <s v="Office Supplies"/>
    <s v="Fasteners"/>
    <s v="OIC Binder Clips"/>
    <n v="7.16"/>
    <n v="2"/>
    <n v="0"/>
    <n v="3.58"/>
  </r>
  <r>
    <n v="861"/>
    <s v="CA-2016-133851"/>
    <d v="2016-06-09T00:00:00"/>
    <s v="Standard Class"/>
    <s v="Chuck Magee"/>
    <s v="San Francisco"/>
    <s v="California"/>
    <s v="West"/>
    <s v="Office Supplies"/>
    <s v="Supplies"/>
    <s v="Staple remover"/>
    <n v="7.36"/>
    <n v="2"/>
    <n v="0"/>
    <n v="0.14719999999999978"/>
  </r>
  <r>
    <n v="862"/>
    <s v="CA-2016-133851"/>
    <d v="2016-06-09T00:00:00"/>
    <s v="Standard Class"/>
    <s v="Chuck Magee"/>
    <s v="San Francisco"/>
    <s v="California"/>
    <s v="West"/>
    <s v="Office Supplies"/>
    <s v="Art"/>
    <s v="Deluxe Chalkboard Eraser Cleaner"/>
    <n v="23.1"/>
    <n v="2"/>
    <n v="0"/>
    <n v="10.625999999999999"/>
  </r>
  <r>
    <n v="863"/>
    <s v="CA-2018-134474"/>
    <d v="2018-01-05T00:00:00"/>
    <s v="Second Class"/>
    <s v="Anthony Johnson"/>
    <s v="Jacksonville"/>
    <s v="Florida"/>
    <s v="South"/>
    <s v="Technology"/>
    <s v="Accessories"/>
    <s v="Logitech MX Performance Wireless Mouse"/>
    <n v="191.47200000000001"/>
    <n v="6"/>
    <n v="0.2"/>
    <n v="40.687800000000003"/>
  </r>
  <r>
    <n v="864"/>
    <s v="CA-2018-134474"/>
    <d v="2018-01-05T00:00:00"/>
    <s v="Second Class"/>
    <s v="Anthony Johnson"/>
    <s v="Jacksonville"/>
    <s v="Florida"/>
    <s v="South"/>
    <s v="Office Supplies"/>
    <s v="Art"/>
    <s v="Newell 337"/>
    <n v="5.2480000000000002"/>
    <n v="2"/>
    <n v="0.2"/>
    <n v="0.59039999999999915"/>
  </r>
  <r>
    <n v="865"/>
    <s v="CA-2018-134474"/>
    <d v="2018-01-05T00:00:00"/>
    <s v="Second Class"/>
    <s v="Anthony Johnson"/>
    <s v="Jacksonville"/>
    <s v="Florida"/>
    <s v="South"/>
    <s v="Technology"/>
    <s v="Phones"/>
    <s v="Logitech B530 USB Headset - headset - Full size, Binaural"/>
    <n v="59.184000000000005"/>
    <n v="2"/>
    <n v="0.2"/>
    <n v="5.1786000000000012"/>
  </r>
  <r>
    <n v="866"/>
    <s v="CA-2016-149020"/>
    <d v="2016-01-10T00:00:00"/>
    <s v="Standard Class"/>
    <s v="Anthony Jacobs"/>
    <s v="Springfield"/>
    <s v="Virginia"/>
    <s v="South"/>
    <s v="Office Supplies"/>
    <s v="Labels"/>
    <s v="Avery 482"/>
    <n v="2.89"/>
    <n v="1"/>
    <n v="0"/>
    <n v="1.3583000000000001"/>
  </r>
  <r>
    <n v="867"/>
    <s v="CA-2016-149020"/>
    <d v="2016-01-10T00:00:00"/>
    <s v="Standard Class"/>
    <s v="Anthony Jacobs"/>
    <s v="Springfield"/>
    <s v="Virginia"/>
    <s v="South"/>
    <s v="Furniture"/>
    <s v="Furnishings"/>
    <s v="Howard Miller 11-1/2&quot; Diameter Ridgewood Wall Clock"/>
    <n v="51.94"/>
    <n v="1"/>
    <n v="0"/>
    <n v="21.295400000000001"/>
  </r>
  <r>
    <n v="868"/>
    <s v="CA-2018-134362"/>
    <d v="2018-09-29T00:00:00"/>
    <s v="First Class"/>
    <s v="Linda Southworth"/>
    <s v="Philadelphia"/>
    <s v="Pennsylvania"/>
    <s v="East"/>
    <s v="Office Supplies"/>
    <s v="Labels"/>
    <s v="Avery 483"/>
    <n v="15.936000000000002"/>
    <n v="4"/>
    <n v="0.2"/>
    <n v="5.1791999999999998"/>
  </r>
  <r>
    <n v="869"/>
    <s v="CA-2016-136742"/>
    <d v="2016-04-06T00:00:00"/>
    <s v="Standard Class"/>
    <s v="Guy Phonely"/>
    <s v="Lancaster"/>
    <s v="Pennsylvania"/>
    <s v="East"/>
    <s v="Office Supplies"/>
    <s v="Binders"/>
    <s v="Large Capacity Hanging Post Binders"/>
    <n v="44.910000000000011"/>
    <n v="6"/>
    <n v="0.7"/>
    <n v="-35.927999999999997"/>
  </r>
  <r>
    <n v="870"/>
    <s v="CA-2018-158099"/>
    <d v="2018-09-03T00:00:00"/>
    <s v="First Class"/>
    <s v="Paul Knutson"/>
    <s v="Philadelphia"/>
    <s v="Pennsylvania"/>
    <s v="East"/>
    <s v="Office Supplies"/>
    <s v="Binders"/>
    <s v="GBC Ibimaster 500 Manual ProClick Binding System"/>
    <n v="1141.4700000000003"/>
    <n v="5"/>
    <n v="0.7"/>
    <n v="-760.98000000000025"/>
  </r>
  <r>
    <n v="871"/>
    <s v="CA-2018-158099"/>
    <d v="2018-09-03T00:00:00"/>
    <s v="First Class"/>
    <s v="Paul Knutson"/>
    <s v="Philadelphia"/>
    <s v="Pennsylvania"/>
    <s v="East"/>
    <s v="Technology"/>
    <s v="Phones"/>
    <s v="Cisco SPA301"/>
    <n v="280.78200000000004"/>
    <n v="3"/>
    <n v="0.4"/>
    <n v="-46.797000000000025"/>
  </r>
  <r>
    <n v="872"/>
    <s v="CA-2017-131128"/>
    <d v="2017-10-19T00:00:00"/>
    <s v="First Class"/>
    <s v="Tracy Blumstein"/>
    <s v="Concord"/>
    <s v="New Hampshire"/>
    <s v="East"/>
    <s v="Office Supplies"/>
    <s v="Paper"/>
    <s v="Southworth 100% Cotton The Best Paper"/>
    <n v="34.44"/>
    <n v="3"/>
    <n v="0"/>
    <n v="17.22"/>
  </r>
  <r>
    <n v="873"/>
    <s v="CA-2016-148488"/>
    <d v="2016-12-10T00:00:00"/>
    <s v="Standard Class"/>
    <s v="Sally Matthias"/>
    <s v="New York City"/>
    <s v="New York"/>
    <s v="East"/>
    <s v="Office Supplies"/>
    <s v="Paper"/>
    <s v="Adams Write n' Stick Phone Message Book, 11&quot; X 5 1/4&quot;, 200 Messages"/>
    <n v="11.36"/>
    <n v="2"/>
    <n v="0"/>
    <n v="5.2255999999999991"/>
  </r>
  <r>
    <n v="874"/>
    <s v="CA-2016-148488"/>
    <d v="2016-12-10T00:00:00"/>
    <s v="Standard Class"/>
    <s v="Sally Matthias"/>
    <s v="New York City"/>
    <s v="New York"/>
    <s v="East"/>
    <s v="Office Supplies"/>
    <s v="Binders"/>
    <s v="Poly Designer Cover &amp; Back"/>
    <n v="106.34399999999999"/>
    <n v="7"/>
    <n v="0.2"/>
    <n v="37.220399999999998"/>
  </r>
  <r>
    <n v="875"/>
    <s v="CA-2019-114636"/>
    <d v="2019-08-25T00:00:00"/>
    <s v="Standard Class"/>
    <s v="Guy Armstrong"/>
    <s v="Charlotte"/>
    <s v="North Carolina"/>
    <s v="South"/>
    <s v="Office Supplies"/>
    <s v="Paper"/>
    <s v="Xerox 1910"/>
    <n v="192.16000000000003"/>
    <n v="5"/>
    <n v="0.2"/>
    <n v="67.255999999999986"/>
  </r>
  <r>
    <n v="876"/>
    <s v="CA-2018-116736"/>
    <d v="2018-01-17T00:00:00"/>
    <s v="Standard Class"/>
    <s v="Chuck Clark"/>
    <s v="Concord"/>
    <s v="New Hampshire"/>
    <s v="East"/>
    <s v="Furniture"/>
    <s v="Furnishings"/>
    <s v="Tenex Contemporary Contur Chairmats for Low and Medium Pile Carpet, Computer, 39&quot; x 49&quot;"/>
    <n v="322.59000000000003"/>
    <n v="3"/>
    <n v="0"/>
    <n v="64.518000000000001"/>
  </r>
  <r>
    <n v="877"/>
    <s v="CA-2018-116736"/>
    <d v="2018-01-17T00:00:00"/>
    <s v="Standard Class"/>
    <s v="Chuck Clark"/>
    <s v="Concord"/>
    <s v="New Hampshire"/>
    <s v="East"/>
    <s v="Technology"/>
    <s v="Accessories"/>
    <s v="Logitech 910-002974 M325 Wireless Mouse for Web Scrolling"/>
    <n v="29.99"/>
    <n v="1"/>
    <n v="0"/>
    <n v="13.195600000000002"/>
  </r>
  <r>
    <n v="878"/>
    <s v="CA-2018-116736"/>
    <d v="2018-01-17T00:00:00"/>
    <s v="Standard Class"/>
    <s v="Chuck Clark"/>
    <s v="Concord"/>
    <s v="New Hampshire"/>
    <s v="East"/>
    <s v="Technology"/>
    <s v="Accessories"/>
    <s v="Logitech G19 Programmable Gaming Keyboard"/>
    <n v="371.96999999999997"/>
    <n v="3"/>
    <n v="0"/>
    <n v="66.954599999999971"/>
  </r>
  <r>
    <n v="879"/>
    <s v="US-2016-158638"/>
    <d v="2016-09-17T00:00:00"/>
    <s v="Standard Class"/>
    <s v="Anthony Garverick"/>
    <s v="Philadelphia"/>
    <s v="Pennsylvania"/>
    <s v="East"/>
    <s v="Office Supplies"/>
    <s v="Binders"/>
    <s v="Acco Pressboard Covers with Storage Hooks, 14 7/8&quot; x 11&quot;, Light Blue"/>
    <n v="5.8920000000000012"/>
    <n v="4"/>
    <n v="0.7"/>
    <n v="-4.1243999999999996"/>
  </r>
  <r>
    <n v="880"/>
    <s v="CA-2019-111689"/>
    <d v="2019-11-30T00:00:00"/>
    <s v="Second Class"/>
    <s v="Harold Pawlan"/>
    <s v="New York City"/>
    <s v="New York"/>
    <s v="East"/>
    <s v="Office Supplies"/>
    <s v="Binders"/>
    <s v="Lock-Up Easel 'Spel-Binder'"/>
    <n v="68.472000000000008"/>
    <n v="3"/>
    <n v="0.2"/>
    <n v="23.109299999999998"/>
  </r>
  <r>
    <n v="881"/>
    <s v="CA-2019-111689"/>
    <d v="2019-11-30T00:00:00"/>
    <s v="Second Class"/>
    <s v="Harold Pawlan"/>
    <s v="New York City"/>
    <s v="New York"/>
    <s v="East"/>
    <s v="Furniture"/>
    <s v="Chairs"/>
    <s v="SAFCO Arco Folding Chair"/>
    <n v="1242.8999999999999"/>
    <n v="5"/>
    <n v="0.1"/>
    <n v="262.38999999999987"/>
  </r>
  <r>
    <n v="882"/>
    <s v="CA-2017-129098"/>
    <d v="2017-10-09T00:00:00"/>
    <s v="Standard Class"/>
    <s v="Dave Kipp"/>
    <s v="Springfield"/>
    <s v="Virginia"/>
    <s v="South"/>
    <s v="Office Supplies"/>
    <s v="Storage"/>
    <s v="Decoflex Hanging Personal Folder File, Blue"/>
    <n v="30.84"/>
    <n v="2"/>
    <n v="0"/>
    <n v="8.3268000000000022"/>
  </r>
  <r>
    <n v="883"/>
    <s v="US-2019-123463"/>
    <d v="2019-12-23T00:00:00"/>
    <s v="Same Day"/>
    <s v="Gary Zandusky"/>
    <s v="San Francisco"/>
    <s v="California"/>
    <s v="West"/>
    <s v="Office Supplies"/>
    <s v="Art"/>
    <s v="Binney &amp; Smith Crayola Metallic Crayons, 16-Color Pack"/>
    <n v="13.48"/>
    <n v="4"/>
    <n v="0"/>
    <n v="5.9312000000000014"/>
  </r>
  <r>
    <n v="884"/>
    <s v="CA-2018-165148"/>
    <d v="2018-10-22T00:00:00"/>
    <s v="First Class"/>
    <s v="Peter McVee"/>
    <s v="Detroit"/>
    <s v="Michigan"/>
    <s v="Central"/>
    <s v="Furniture"/>
    <s v="Furnishings"/>
    <s v="Eldon 200 Class Desk Accessories"/>
    <n v="31.400000000000002"/>
    <n v="5"/>
    <n v="0"/>
    <n v="10.047999999999998"/>
  </r>
  <r>
    <n v="885"/>
    <s v="CA-2016-134061"/>
    <d v="2016-04-29T00:00:00"/>
    <s v="Standard Class"/>
    <s v="Lauren Leatherbury"/>
    <s v="Rochester"/>
    <s v="New York"/>
    <s v="East"/>
    <s v="Furniture"/>
    <s v="Furnishings"/>
    <s v="Dax Clear Box Frame"/>
    <n v="17.46"/>
    <n v="2"/>
    <n v="0"/>
    <n v="5.936399999999999"/>
  </r>
  <r>
    <n v="886"/>
    <s v="CA-2017-143602"/>
    <d v="2017-04-25T00:00:00"/>
    <s v="Second Class"/>
    <s v="Jill Stevenson"/>
    <s v="Los Angeles"/>
    <s v="California"/>
    <s v="West"/>
    <s v="Office Supplies"/>
    <s v="Binders"/>
    <s v="Fellowes Black Plastic Comb Bindings"/>
    <n v="13.943999999999999"/>
    <n v="3"/>
    <n v="0.2"/>
    <n v="4.5317999999999996"/>
  </r>
  <r>
    <n v="887"/>
    <s v="CA-2019-115364"/>
    <d v="2019-06-26T00:00:00"/>
    <s v="Standard Class"/>
    <s v="Olvera Toch"/>
    <s v="San Diego"/>
    <s v="California"/>
    <s v="West"/>
    <s v="Office Supplies"/>
    <s v="Storage"/>
    <s v="Eldon Shelf Savers Cubes and Bins"/>
    <n v="83.76"/>
    <n v="12"/>
    <n v="0"/>
    <n v="1.6751999999999967"/>
  </r>
  <r>
    <n v="888"/>
    <s v="CA-2019-150707"/>
    <d v="2019-10-14T00:00:00"/>
    <s v="Standard Class"/>
    <s v="Ed Ludwig"/>
    <s v="Columbia"/>
    <s v="Maryland"/>
    <s v="East"/>
    <s v="Office Supplies"/>
    <s v="Binders"/>
    <s v="Acco PRESSTEX Data Binder with Storage Hooks, Dark Blue, 14 7/8&quot; X 11&quot;"/>
    <n v="37.659999999999997"/>
    <n v="7"/>
    <n v="0"/>
    <n v="18.453400000000002"/>
  </r>
  <r>
    <n v="889"/>
    <s v="CA-2016-104976"/>
    <d v="2016-12-09T00:00:00"/>
    <s v="Standard Class"/>
    <s v="Cyma Kinney"/>
    <s v="San Francisco"/>
    <s v="California"/>
    <s v="West"/>
    <s v="Office Supplies"/>
    <s v="Paper"/>
    <s v="Xerox 1987"/>
    <n v="34.68"/>
    <n v="6"/>
    <n v="0"/>
    <n v="16.993200000000002"/>
  </r>
  <r>
    <n v="890"/>
    <s v="CA-2019-132934"/>
    <d v="2019-06-20T00:00:00"/>
    <s v="Standard Class"/>
    <s v="Jeremy Ellison"/>
    <s v="New Rochelle"/>
    <s v="New York"/>
    <s v="East"/>
    <s v="Technology"/>
    <s v="Accessories"/>
    <s v="Anker Ultrathin Bluetooth Wireless Keyboard Aluminum Cover with Stand"/>
    <n v="149.94999999999999"/>
    <n v="5"/>
    <n v="0"/>
    <n v="14.994999999999994"/>
  </r>
  <r>
    <n v="891"/>
    <s v="CA-2019-132934"/>
    <d v="2019-06-20T00:00:00"/>
    <s v="Standard Class"/>
    <s v="Jeremy Ellison"/>
    <s v="New Rochelle"/>
    <s v="New York"/>
    <s v="East"/>
    <s v="Office Supplies"/>
    <s v="Binders"/>
    <s v="Acco D-Ring Binder w/DublLock"/>
    <n v="51.311999999999998"/>
    <n v="3"/>
    <n v="0.2"/>
    <n v="18.600599999999996"/>
  </r>
  <r>
    <n v="892"/>
    <s v="CA-2019-133256"/>
    <d v="2019-06-26T00:00:00"/>
    <s v="First Class"/>
    <s v="Tracy Hopkins"/>
    <s v="Detroit"/>
    <s v="Michigan"/>
    <s v="Central"/>
    <s v="Office Supplies"/>
    <s v="Paper"/>
    <s v="Ampad Poly Cover Wirebound Steno Book, 6&quot; x 9&quot; Assorted Colors, Gregg Ruled"/>
    <n v="4.54"/>
    <n v="1"/>
    <n v="0"/>
    <n v="2.0429999999999997"/>
  </r>
  <r>
    <n v="893"/>
    <s v="CA-2019-133256"/>
    <d v="2019-06-26T00:00:00"/>
    <s v="First Class"/>
    <s v="Tracy Hopkins"/>
    <s v="Detroit"/>
    <s v="Michigan"/>
    <s v="Central"/>
    <s v="Office Supplies"/>
    <s v="Art"/>
    <s v="Fluorescent Highlighters by Dixon"/>
    <n v="15.92"/>
    <n v="4"/>
    <n v="0"/>
    <n v="5.4127999999999989"/>
  </r>
  <r>
    <n v="894"/>
    <s v="CA-2019-133256"/>
    <d v="2019-06-26T00:00:00"/>
    <s v="First Class"/>
    <s v="Tracy Hopkins"/>
    <s v="Detroit"/>
    <s v="Michigan"/>
    <s v="Central"/>
    <s v="Technology"/>
    <s v="Phones"/>
    <s v="Nortel Networks T7316 E Nt8 B27"/>
    <n v="543.91999999999996"/>
    <n v="8"/>
    <n v="0"/>
    <n v="135.98000000000002"/>
  </r>
  <r>
    <n v="895"/>
    <s v="CA-2018-105494"/>
    <d v="2018-11-10T00:00:00"/>
    <s v="First Class"/>
    <s v="Pamela Coakley"/>
    <s v="San Francisco"/>
    <s v="California"/>
    <s v="West"/>
    <s v="Office Supplies"/>
    <s v="Storage"/>
    <s v="File Shuttle I and Handi-File"/>
    <n v="155.82000000000002"/>
    <n v="7"/>
    <n v="0"/>
    <n v="42.071400000000011"/>
  </r>
  <r>
    <n v="896"/>
    <s v="CA-2018-105494"/>
    <d v="2018-11-10T00:00:00"/>
    <s v="First Class"/>
    <s v="Pamela Coakley"/>
    <s v="San Francisco"/>
    <s v="California"/>
    <s v="West"/>
    <s v="Office Supplies"/>
    <s v="Binders"/>
    <s v="Binding Machine Supplies"/>
    <n v="70.00800000000001"/>
    <n v="3"/>
    <n v="0.2"/>
    <n v="24.502800000000001"/>
  </r>
  <r>
    <n v="897"/>
    <s v="CA-2018-140634"/>
    <d v="2018-10-03T00:00:00"/>
    <s v="Second Class"/>
    <s v="Hunter Lopez"/>
    <s v="Houston"/>
    <s v="Texas"/>
    <s v="Central"/>
    <s v="Office Supplies"/>
    <s v="Envelopes"/>
    <s v="Staple envelope"/>
    <n v="15.648"/>
    <n v="2"/>
    <n v="0.2"/>
    <n v="5.0855999999999986"/>
  </r>
  <r>
    <n v="898"/>
    <s v="CA-2016-144407"/>
    <d v="2016-09-09T00:00:00"/>
    <s v="Standard Class"/>
    <s v="Maribeth Schnelling"/>
    <s v="Detroit"/>
    <s v="Michigan"/>
    <s v="Central"/>
    <s v="Office Supplies"/>
    <s v="Labels"/>
    <s v="Alphabetical Labels for Top Tab Filing"/>
    <n v="103.60000000000001"/>
    <n v="7"/>
    <n v="0"/>
    <n v="51.800000000000004"/>
  </r>
  <r>
    <n v="899"/>
    <s v="CA-2019-160983"/>
    <d v="2019-10-29T00:00:00"/>
    <s v="Second Class"/>
    <s v="George Bell"/>
    <s v="Auburn"/>
    <s v="New York"/>
    <s v="East"/>
    <s v="Office Supplies"/>
    <s v="Paper"/>
    <s v="Things To Do Today Pad"/>
    <n v="46.96"/>
    <n v="8"/>
    <n v="0"/>
    <n v="22.540800000000001"/>
  </r>
  <r>
    <n v="900"/>
    <s v="US-2018-114622"/>
    <d v="2018-04-10T00:00:00"/>
    <s v="First Class"/>
    <s v="Justin Ritter"/>
    <s v="Springfield"/>
    <s v="Ohio"/>
    <s v="East"/>
    <s v="Office Supplies"/>
    <s v="Binders"/>
    <s v="Wilson Jones Hanging Recycled Pressboard Data Binders"/>
    <n v="8.9040000000000017"/>
    <n v="2"/>
    <n v="0.7"/>
    <n v="-6.5296000000000003"/>
  </r>
  <r>
    <n v="901"/>
    <s v="CA-2019-150959"/>
    <d v="2019-11-11T00:00:00"/>
    <s v="First Class"/>
    <s v="Tamara Dahlen"/>
    <s v="Garland"/>
    <s v="Texas"/>
    <s v="Central"/>
    <s v="Office Supplies"/>
    <s v="Labels"/>
    <s v="Permanent Self-Adhesive File Folder Labels for Typewriters by Universal"/>
    <n v="10.440000000000001"/>
    <n v="5"/>
    <n v="0.2"/>
    <n v="3.3929999999999989"/>
  </r>
  <r>
    <n v="902"/>
    <s v="CA-2019-150959"/>
    <d v="2019-11-11T00:00:00"/>
    <s v="First Class"/>
    <s v="Tamara Dahlen"/>
    <s v="Garland"/>
    <s v="Texas"/>
    <s v="Central"/>
    <s v="Office Supplies"/>
    <s v="Binders"/>
    <s v="Deluxe Heavy-Duty Vinyl Round Ring Binder"/>
    <n v="18.335999999999999"/>
    <n v="4"/>
    <n v="0.8"/>
    <n v="-32.088000000000008"/>
  </r>
  <r>
    <n v="903"/>
    <s v="CA-2019-132353"/>
    <d v="2019-09-15T00:00:00"/>
    <s v="First Class"/>
    <s v="Dave Brooks"/>
    <s v="Chicago"/>
    <s v="Illinois"/>
    <s v="Central"/>
    <s v="Technology"/>
    <s v="Phones"/>
    <s v="Avaya 5420 Digital phone"/>
    <n v="323.97600000000006"/>
    <n v="3"/>
    <n v="0.2"/>
    <n v="20.248499999999993"/>
  </r>
  <r>
    <n v="904"/>
    <s v="CA-2018-130477"/>
    <d v="2018-04-08T00:00:00"/>
    <s v="Standard Class"/>
    <s v="Logan Currie"/>
    <s v="Los Angeles"/>
    <s v="California"/>
    <s v="West"/>
    <s v="Office Supplies"/>
    <s v="Paper"/>
    <s v="Xerox 1923"/>
    <n v="20.04"/>
    <n v="3"/>
    <n v="0"/>
    <n v="9.6191999999999993"/>
  </r>
  <r>
    <n v="905"/>
    <s v="CA-2018-130477"/>
    <d v="2018-04-08T00:00:00"/>
    <s v="Standard Class"/>
    <s v="Logan Currie"/>
    <s v="Los Angeles"/>
    <s v="California"/>
    <s v="West"/>
    <s v="Office Supplies"/>
    <s v="Storage"/>
    <s v="Fellowes Neat Ideas Storage Cubes"/>
    <n v="64.959999999999994"/>
    <n v="2"/>
    <n v="0"/>
    <n v="2.598399999999998"/>
  </r>
  <r>
    <n v="906"/>
    <s v="CA-2018-130477"/>
    <d v="2018-04-08T00:00:00"/>
    <s v="Standard Class"/>
    <s v="Logan Currie"/>
    <s v="Los Angeles"/>
    <s v="California"/>
    <s v="West"/>
    <s v="Office Supplies"/>
    <s v="Paper"/>
    <s v="Xerox 1931"/>
    <n v="12.96"/>
    <n v="2"/>
    <n v="0"/>
    <n v="6.2208000000000006"/>
  </r>
  <r>
    <n v="907"/>
    <s v="CA-2019-143259"/>
    <d v="2019-12-30T00:00:00"/>
    <s v="Standard Class"/>
    <s v="Patrick O'Donnell"/>
    <s v="New York City"/>
    <s v="New York"/>
    <s v="East"/>
    <s v="Furniture"/>
    <s v="Bookcases"/>
    <s v="Bush Westfield Collection Bookcases, Fully Assembled"/>
    <n v="323.13600000000002"/>
    <n v="4"/>
    <n v="0.2"/>
    <n v="12.117599999999968"/>
  </r>
  <r>
    <n v="908"/>
    <s v="CA-2019-143259"/>
    <d v="2019-12-30T00:00:00"/>
    <s v="Standard Class"/>
    <s v="Patrick O'Donnell"/>
    <s v="New York City"/>
    <s v="New York"/>
    <s v="East"/>
    <s v="Technology"/>
    <s v="Phones"/>
    <s v="Gear Head AU3700S Headset"/>
    <n v="90.93"/>
    <n v="7"/>
    <n v="0"/>
    <n v="2.7278999999999964"/>
  </r>
  <r>
    <n v="909"/>
    <s v="CA-2019-143259"/>
    <d v="2019-12-30T00:00:00"/>
    <s v="Standard Class"/>
    <s v="Patrick O'Donnell"/>
    <s v="New York City"/>
    <s v="New York"/>
    <s v="East"/>
    <s v="Office Supplies"/>
    <s v="Binders"/>
    <s v="Wilson Jones Legal Size Ring Binders"/>
    <n v="52.775999999999996"/>
    <n v="3"/>
    <n v="0.2"/>
    <n v="19.791"/>
  </r>
  <r>
    <n v="910"/>
    <s v="CA-2019-137596"/>
    <d v="2019-09-02T00:00:00"/>
    <s v="Standard Class"/>
    <s v="Bill Eplett"/>
    <s v="Jackson"/>
    <s v="Michigan"/>
    <s v="Central"/>
    <s v="Technology"/>
    <s v="Phones"/>
    <s v="Polycom CX600 IP Phone VoIP phone"/>
    <n v="1199.8"/>
    <n v="4"/>
    <n v="0"/>
    <n v="323.94600000000003"/>
  </r>
  <r>
    <n v="911"/>
    <s v="CA-2019-137596"/>
    <d v="2019-09-02T00:00:00"/>
    <s v="Standard Class"/>
    <s v="Bill Eplett"/>
    <s v="Jackson"/>
    <s v="Michigan"/>
    <s v="Central"/>
    <s v="Technology"/>
    <s v="Accessories"/>
    <s v="Maxell iVDR EX 500GB Cartridge"/>
    <n v="1928.7800000000002"/>
    <n v="7"/>
    <n v="0"/>
    <n v="829.37540000000024"/>
  </r>
  <r>
    <n v="912"/>
    <s v="CA-2019-137596"/>
    <d v="2019-09-02T00:00:00"/>
    <s v="Standard Class"/>
    <s v="Bill Eplett"/>
    <s v="Jackson"/>
    <s v="Michigan"/>
    <s v="Central"/>
    <s v="Office Supplies"/>
    <s v="Storage"/>
    <s v="Fellowes High-Stak Drawer Files"/>
    <n v="352.38"/>
    <n v="2"/>
    <n v="0"/>
    <n v="81.047399999999982"/>
  </r>
  <r>
    <n v="913"/>
    <s v="CA-2017-133627"/>
    <d v="2017-05-31T00:00:00"/>
    <s v="Standard Class"/>
    <s v="Sample Company A"/>
    <s v="Norwich"/>
    <s v="Connecticut"/>
    <s v="East"/>
    <s v="Furniture"/>
    <s v="Furnishings"/>
    <s v="3M Hangers With Command Adhesive"/>
    <n v="22.200000000000003"/>
    <n v="6"/>
    <n v="0"/>
    <n v="9.1020000000000021"/>
  </r>
  <r>
    <n v="914"/>
    <s v="CA-2019-102519"/>
    <d v="2019-11-27T00:00:00"/>
    <s v="First Class"/>
    <s v="Brian Moss"/>
    <s v="Milwaukee"/>
    <s v="Wisconsin"/>
    <s v="Central"/>
    <s v="Furniture"/>
    <s v="Furnishings"/>
    <s v="Howard Miller 13&quot; Diameter Goldtone Round Wall Clock"/>
    <n v="46.94"/>
    <n v="1"/>
    <n v="0"/>
    <n v="19.2454"/>
  </r>
  <r>
    <n v="915"/>
    <s v="CA-2019-102519"/>
    <d v="2019-11-27T00:00:00"/>
    <s v="First Class"/>
    <s v="Brian Moss"/>
    <s v="Milwaukee"/>
    <s v="Wisconsin"/>
    <s v="Central"/>
    <s v="Technology"/>
    <s v="Accessories"/>
    <s v="Memorex Mini Travel Drive 16 GB USB 2.0 Flash Drive"/>
    <n v="143.73000000000002"/>
    <n v="9"/>
    <n v="0"/>
    <n v="56.054700000000011"/>
  </r>
  <r>
    <n v="916"/>
    <s v="US-2016-141215"/>
    <d v="2016-06-15T00:00:00"/>
    <s v="Standard Class"/>
    <s v="Kelly Lampkin"/>
    <s v="San Antonio"/>
    <s v="Texas"/>
    <s v="Central"/>
    <s v="Furniture"/>
    <s v="Tables"/>
    <s v="Lesro Sheffield Collection Coffee Table, End Table, Center Table, Corner Table"/>
    <n v="99.918000000000006"/>
    <n v="2"/>
    <n v="0.3"/>
    <n v="-18.556200000000018"/>
  </r>
  <r>
    <n v="917"/>
    <s v="US-2016-141215"/>
    <d v="2016-06-15T00:00:00"/>
    <s v="Standard Class"/>
    <s v="Kelly Lampkin"/>
    <s v="San Antonio"/>
    <s v="Texas"/>
    <s v="Central"/>
    <s v="Furniture"/>
    <s v="Chairs"/>
    <s v="Global Commerce Series High-Back Swivel/Tilt Chairs"/>
    <n v="797.94399999999996"/>
    <n v="4"/>
    <n v="0.3"/>
    <n v="-56.995999999999981"/>
  </r>
  <r>
    <n v="918"/>
    <s v="US-2016-141215"/>
    <d v="2016-06-15T00:00:00"/>
    <s v="Standard Class"/>
    <s v="Kelly Lampkin"/>
    <s v="San Antonio"/>
    <s v="Texas"/>
    <s v="Central"/>
    <s v="Office Supplies"/>
    <s v="Binders"/>
    <s v="Avery Premier Heavy-Duty Binder with Round Locking Rings"/>
    <n v="8.5679999999999978"/>
    <n v="3"/>
    <n v="0.8"/>
    <n v="-14.5656"/>
  </r>
  <r>
    <n v="919"/>
    <s v="CA-2018-165218"/>
    <d v="2018-03-05T00:00:00"/>
    <s v="Standard Class"/>
    <s v="Rob Williams"/>
    <s v="Dallas"/>
    <s v="Texas"/>
    <s v="Central"/>
    <s v="Office Supplies"/>
    <s v="Envelopes"/>
    <s v="Cameo Buff Policy Envelopes"/>
    <n v="149.352"/>
    <n v="3"/>
    <n v="0.2"/>
    <n v="50.40629999999998"/>
  </r>
  <r>
    <n v="920"/>
    <s v="CA-2018-165218"/>
    <d v="2018-03-05T00:00:00"/>
    <s v="Standard Class"/>
    <s v="Rob Williams"/>
    <s v="Dallas"/>
    <s v="Texas"/>
    <s v="Central"/>
    <s v="Office Supplies"/>
    <s v="Storage"/>
    <s v="Acco Perma 4000 Stacking Storage Drawers"/>
    <n v="12.991999999999999"/>
    <n v="1"/>
    <n v="0.2"/>
    <n v="-0.81199999999999983"/>
  </r>
  <r>
    <n v="921"/>
    <s v="CA-2016-138296"/>
    <d v="2016-12-05T00:00:00"/>
    <s v="Standard Class"/>
    <s v="Roy Collins"/>
    <s v="Alexandria"/>
    <s v="Virginia"/>
    <s v="South"/>
    <s v="Office Supplies"/>
    <s v="Storage"/>
    <s v="Recycled Eldon Regeneration Jumbo File"/>
    <n v="24.56"/>
    <n v="2"/>
    <n v="0"/>
    <n v="6.8767999999999994"/>
  </r>
  <r>
    <n v="922"/>
    <s v="CA-2017-111164"/>
    <d v="2017-04-11T00:00:00"/>
    <s v="Standard Class"/>
    <s v="Sanjit Engle"/>
    <s v="New York City"/>
    <s v="New York"/>
    <s v="East"/>
    <s v="Technology"/>
    <s v="Accessories"/>
    <s v="Maxell 4.7GB DVD-R"/>
    <n v="85.14"/>
    <n v="3"/>
    <n v="0"/>
    <n v="34.907399999999996"/>
  </r>
  <r>
    <n v="923"/>
    <s v="CA-2017-111164"/>
    <d v="2017-04-11T00:00:00"/>
    <s v="Standard Class"/>
    <s v="Sanjit Engle"/>
    <s v="New York City"/>
    <s v="New York"/>
    <s v="East"/>
    <s v="Technology"/>
    <s v="Phones"/>
    <s v="OtterBox Commuter Series Case - iPhone 5 &amp; 5s"/>
    <n v="21.99"/>
    <n v="1"/>
    <n v="0"/>
    <n v="10.555199999999999"/>
  </r>
  <r>
    <n v="924"/>
    <s v="CA-2017-111164"/>
    <d v="2017-04-11T00:00:00"/>
    <s v="Standard Class"/>
    <s v="Sanjit Engle"/>
    <s v="New York City"/>
    <s v="New York"/>
    <s v="East"/>
    <s v="Office Supplies"/>
    <s v="Appliances"/>
    <s v="Kensington 4 Outlet MasterPiece Compact Power Control Center"/>
    <n v="406.59999999999997"/>
    <n v="5"/>
    <n v="0"/>
    <n v="113.84799999999998"/>
  </r>
  <r>
    <n v="925"/>
    <s v="CA-2018-149797"/>
    <d v="2018-09-15T00:00:00"/>
    <s v="Standard Class"/>
    <s v="Adam Hart"/>
    <s v="New York City"/>
    <s v="New York"/>
    <s v="East"/>
    <s v="Office Supplies"/>
    <s v="Binders"/>
    <s v="GBC DocuBind 300 Electric Binding Machine"/>
    <n v="841.5680000000001"/>
    <n v="2"/>
    <n v="0.2"/>
    <n v="294.54879999999991"/>
  </r>
  <r>
    <n v="926"/>
    <s v="CA-2016-132962"/>
    <d v="2016-09-13T00:00:00"/>
    <s v="First Class"/>
    <s v="Jessica Myrick"/>
    <s v="Philadelphia"/>
    <s v="Pennsylvania"/>
    <s v="East"/>
    <s v="Office Supplies"/>
    <s v="Paper"/>
    <s v="Xerox 1985"/>
    <n v="15.552000000000003"/>
    <n v="3"/>
    <n v="0.2"/>
    <n v="5.4432"/>
  </r>
  <r>
    <n v="927"/>
    <s v="CA-2016-132962"/>
    <d v="2016-09-13T00:00:00"/>
    <s v="First Class"/>
    <s v="Jessica Myrick"/>
    <s v="Philadelphia"/>
    <s v="Pennsylvania"/>
    <s v="East"/>
    <s v="Technology"/>
    <s v="Accessories"/>
    <s v="Hypercom P1300 Pinpad"/>
    <n v="252.00000000000003"/>
    <n v="5"/>
    <n v="0.2"/>
    <n v="53.550000000000004"/>
  </r>
  <r>
    <n v="928"/>
    <s v="CA-2017-115091"/>
    <d v="2017-10-05T00:00:00"/>
    <s v="Standard Class"/>
    <s v="Joel Jenkins"/>
    <s v="Springfield"/>
    <s v="Virginia"/>
    <s v="South"/>
    <s v="Office Supplies"/>
    <s v="Art"/>
    <s v="Newell 324"/>
    <n v="46.2"/>
    <n v="4"/>
    <n v="0"/>
    <n v="12.936"/>
  </r>
  <r>
    <n v="929"/>
    <s v="CA-2017-115091"/>
    <d v="2017-10-05T00:00:00"/>
    <s v="Standard Class"/>
    <s v="Joel Jenkins"/>
    <s v="Springfield"/>
    <s v="Virginia"/>
    <s v="South"/>
    <s v="Office Supplies"/>
    <s v="Appliances"/>
    <s v="Holmes Odor Grabber"/>
    <n v="28.84"/>
    <n v="2"/>
    <n v="0"/>
    <n v="9.517199999999999"/>
  </r>
  <r>
    <n v="930"/>
    <s v="CA-2019-144932"/>
    <d v="2019-04-14T00:00:00"/>
    <s v="First Class"/>
    <s v="Alan Barnes"/>
    <s v="Toledo"/>
    <s v="Ohio"/>
    <s v="East"/>
    <s v="Office Supplies"/>
    <s v="Art"/>
    <s v="Zebra Zazzle Fluorescent Highlighters"/>
    <n v="14.592000000000002"/>
    <n v="3"/>
    <n v="0.2"/>
    <n v="2.5535999999999985"/>
  </r>
  <r>
    <n v="931"/>
    <s v="CA-2019-144932"/>
    <d v="2019-04-14T00:00:00"/>
    <s v="First Class"/>
    <s v="Alan Barnes"/>
    <s v="Toledo"/>
    <s v="Ohio"/>
    <s v="East"/>
    <s v="Office Supplies"/>
    <s v="Art"/>
    <s v="Sanford Prismacolor Professional Thick Lead Art Pencils, 36-Color Set"/>
    <n v="89.855999999999995"/>
    <n v="3"/>
    <n v="0.2"/>
    <n v="21.340800000000002"/>
  </r>
  <r>
    <n v="932"/>
    <s v="CA-2019-144932"/>
    <d v="2019-04-14T00:00:00"/>
    <s v="First Class"/>
    <s v="Alan Barnes"/>
    <s v="Toledo"/>
    <s v="Ohio"/>
    <s v="East"/>
    <s v="Office Supplies"/>
    <s v="Paper"/>
    <s v="Xerox 196"/>
    <n v="13.872000000000002"/>
    <n v="3"/>
    <n v="0.2"/>
    <n v="5.0286000000000008"/>
  </r>
  <r>
    <n v="933"/>
    <s v="CA-2019-114216"/>
    <d v="2019-09-02T00:00:00"/>
    <s v="Standard Class"/>
    <s v="Ralph Kennedy"/>
    <s v="Philadelphia"/>
    <s v="Pennsylvania"/>
    <s v="East"/>
    <s v="Office Supplies"/>
    <s v="Paper"/>
    <s v="RSVP Cards &amp; Envelopes, Blank White, 8-1/2&quot; X 11&quot;, 24 Cards/25 Envelopes/Set"/>
    <n v="12.192"/>
    <n v="3"/>
    <n v="0.2"/>
    <n v="4.1147999999999998"/>
  </r>
  <r>
    <n v="934"/>
    <s v="CA-2018-140081"/>
    <d v="2018-06-20T00:00:00"/>
    <s v="Standard Class"/>
    <s v="Catherine Glotzbach"/>
    <s v="Philadelphia"/>
    <s v="Pennsylvania"/>
    <s v="East"/>
    <s v="Office Supplies"/>
    <s v="Paper"/>
    <s v="Wirebound Message Books, 2 7/8&quot; x 5&quot;, 3 Forms per Page"/>
    <n v="45.056000000000004"/>
    <n v="8"/>
    <n v="0.2"/>
    <n v="15.206399999999997"/>
  </r>
  <r>
    <n v="935"/>
    <s v="CA-2018-140081"/>
    <d v="2018-06-20T00:00:00"/>
    <s v="Standard Class"/>
    <s v="Catherine Glotzbach"/>
    <s v="Philadelphia"/>
    <s v="Pennsylvania"/>
    <s v="East"/>
    <s v="Office Supplies"/>
    <s v="Binders"/>
    <s v="JM Magazine Binder"/>
    <n v="29.718000000000007"/>
    <n v="6"/>
    <n v="0.7"/>
    <n v="-21.793199999999992"/>
  </r>
  <r>
    <n v="936"/>
    <s v="CA-2018-140081"/>
    <d v="2018-06-20T00:00:00"/>
    <s v="Standard Class"/>
    <s v="Catherine Glotzbach"/>
    <s v="Philadelphia"/>
    <s v="Pennsylvania"/>
    <s v="East"/>
    <s v="Office Supplies"/>
    <s v="Paper"/>
    <s v="Xerox 202"/>
    <n v="15.552000000000003"/>
    <n v="3"/>
    <n v="0.2"/>
    <n v="5.4432"/>
  </r>
  <r>
    <n v="937"/>
    <s v="CA-2018-140081"/>
    <d v="2018-06-20T00:00:00"/>
    <s v="Standard Class"/>
    <s v="Catherine Glotzbach"/>
    <s v="Philadelphia"/>
    <s v="Pennsylvania"/>
    <s v="East"/>
    <s v="Office Supplies"/>
    <s v="Appliances"/>
    <s v="Sanyo 2.5 Cubic Foot Mid-Size Office Refrigerators"/>
    <n v="447.69600000000003"/>
    <n v="2"/>
    <n v="0.2"/>
    <n v="33.577199999999976"/>
  </r>
  <r>
    <n v="938"/>
    <s v="US-2019-111745"/>
    <d v="2019-11-05T00:00:00"/>
    <s v="First Class"/>
    <s v="Ruben Ausman"/>
    <s v="Farmington"/>
    <s v="New Mexico"/>
    <s v="West"/>
    <s v="Technology"/>
    <s v="Accessories"/>
    <s v="NETGEAR AC1750 Dual Band Gigabit Smart WiFi Router"/>
    <n v="159.99"/>
    <n v="1"/>
    <n v="0"/>
    <n v="54.396599999999992"/>
  </r>
  <r>
    <n v="939"/>
    <s v="CA-2017-148250"/>
    <d v="2017-12-13T00:00:00"/>
    <s v="Standard Class"/>
    <s v="Rachel Payne"/>
    <s v="Riverside"/>
    <s v="California"/>
    <s v="West"/>
    <s v="Office Supplies"/>
    <s v="Paper"/>
    <s v="Xerox 213"/>
    <n v="12.96"/>
    <n v="2"/>
    <n v="0"/>
    <n v="6.2208000000000006"/>
  </r>
  <r>
    <n v="940"/>
    <s v="CA-2017-148250"/>
    <d v="2017-12-13T00:00:00"/>
    <s v="Standard Class"/>
    <s v="Rachel Payne"/>
    <s v="Riverside"/>
    <s v="California"/>
    <s v="West"/>
    <s v="Office Supplies"/>
    <s v="Appliances"/>
    <s v="Fellowes 8 Outlet Superior Workstation Surge Protector w/o Phone/Fax/Modem Protection"/>
    <n v="134.47999999999999"/>
    <n v="4"/>
    <n v="0"/>
    <n v="34.964799999999997"/>
  </r>
  <r>
    <n v="941"/>
    <s v="CA-2018-105760"/>
    <d v="2018-06-19T00:00:00"/>
    <s v="First Class"/>
    <s v="Karen Carlisle"/>
    <s v="San Francisco"/>
    <s v="California"/>
    <s v="West"/>
    <s v="Office Supplies"/>
    <s v="Paper"/>
    <s v="Message Book, Standard Line &quot;While You Were Out&quot;, 5 1/2&quot; X 4&quot;, 200 Sets/Book"/>
    <n v="17.12"/>
    <n v="2"/>
    <n v="0"/>
    <n v="8.0464000000000002"/>
  </r>
  <r>
    <n v="942"/>
    <s v="CA-2018-142958"/>
    <d v="2018-12-13T00:00:00"/>
    <s v="Standard Class"/>
    <s v="Rob Williams"/>
    <s v="Torrance"/>
    <s v="California"/>
    <s v="West"/>
    <s v="Office Supplies"/>
    <s v="Binders"/>
    <s v="Acco Pressboard Covers with Storage Hooks, 14 7/8&quot; x 11&quot;, Dark Blue"/>
    <n v="6.0960000000000001"/>
    <n v="2"/>
    <n v="0.2"/>
    <n v="2.2098"/>
  </r>
  <r>
    <n v="943"/>
    <s v="CA-2018-142958"/>
    <d v="2018-12-13T00:00:00"/>
    <s v="Standard Class"/>
    <s v="Rob Williams"/>
    <s v="Torrance"/>
    <s v="California"/>
    <s v="West"/>
    <s v="Furniture"/>
    <s v="Tables"/>
    <s v="Bretford CR4500 Series Slim Rectangular Table"/>
    <n v="1114.2719999999999"/>
    <n v="4"/>
    <n v="0.2"/>
    <n v="41.785200000000032"/>
  </r>
  <r>
    <n v="944"/>
    <s v="CA-2017-120880"/>
    <d v="2017-05-29T00:00:00"/>
    <s v="Standard Class"/>
    <s v="John Lucas"/>
    <s v="Seattle"/>
    <s v="Washington"/>
    <s v="West"/>
    <s v="Office Supplies"/>
    <s v="Paper"/>
    <s v="Xerox 1894"/>
    <n v="32.400000000000006"/>
    <n v="5"/>
    <n v="0"/>
    <n v="15.552000000000001"/>
  </r>
  <r>
    <n v="945"/>
    <s v="CA-2017-120880"/>
    <d v="2017-05-29T00:00:00"/>
    <s v="Standard Class"/>
    <s v="John Lucas"/>
    <s v="Seattle"/>
    <s v="Washington"/>
    <s v="West"/>
    <s v="Office Supplies"/>
    <s v="Storage"/>
    <s v="Standard Rollaway File with Lock"/>
    <n v="540.56999999999994"/>
    <n v="3"/>
    <n v="0"/>
    <n v="140.54820000000001"/>
  </r>
  <r>
    <n v="946"/>
    <s v="CA-2017-120880"/>
    <d v="2017-05-29T00:00:00"/>
    <s v="Standard Class"/>
    <s v="John Lucas"/>
    <s v="Seattle"/>
    <s v="Washington"/>
    <s v="West"/>
    <s v="Office Supplies"/>
    <s v="Binders"/>
    <s v="Avery Trapezoid Extra Heavy Duty 4&quot; Binders"/>
    <n v="167.76"/>
    <n v="5"/>
    <n v="0.2"/>
    <n v="62.91"/>
  </r>
  <r>
    <n v="947"/>
    <s v="US-2017-140200"/>
    <d v="2017-07-26T00:00:00"/>
    <s v="First Class"/>
    <s v="Cynthia Arntzen"/>
    <s v="Mesa"/>
    <s v="Arizona"/>
    <s v="West"/>
    <s v="Furniture"/>
    <s v="Tables"/>
    <s v="Bevis Boat-Shaped Conference Table"/>
    <n v="393.16500000000002"/>
    <n v="3"/>
    <n v="0.5"/>
    <n v="-204.44580000000005"/>
  </r>
  <r>
    <n v="948"/>
    <s v="US-2019-110576"/>
    <d v="2019-11-28T00:00:00"/>
    <s v="Standard Class"/>
    <s v="Ross Baird"/>
    <s v="Philadelphia"/>
    <s v="Pennsylvania"/>
    <s v="East"/>
    <s v="Furniture"/>
    <s v="Furnishings"/>
    <s v="Deflect-o RollaMat Studded, Beveled Mat for Medium Pile Carpeting"/>
    <n v="516.48800000000006"/>
    <n v="7"/>
    <n v="0.2"/>
    <n v="-12.912200000000027"/>
  </r>
  <r>
    <n v="949"/>
    <s v="US-2019-110576"/>
    <d v="2019-11-28T00:00:00"/>
    <s v="Standard Class"/>
    <s v="Ross Baird"/>
    <s v="Philadelphia"/>
    <s v="Pennsylvania"/>
    <s v="East"/>
    <s v="Furniture"/>
    <s v="Furnishings"/>
    <s v="Luxo Professional Fluorescent Magnifier Lamp with Clamp-Mount Base"/>
    <n v="1007.2320000000001"/>
    <n v="6"/>
    <n v="0.2"/>
    <n v="75.542400000000015"/>
  </r>
  <r>
    <n v="950"/>
    <s v="US-2019-110576"/>
    <d v="2019-11-28T00:00:00"/>
    <s v="Standard Class"/>
    <s v="Ross Baird"/>
    <s v="Philadelphia"/>
    <s v="Pennsylvania"/>
    <s v="East"/>
    <s v="Furniture"/>
    <s v="Tables"/>
    <s v="Riverside Furniture Oval Coffee Table, Oval End Table, End Table with Drawer"/>
    <n v="2065.3200000000002"/>
    <n v="12"/>
    <n v="0.4"/>
    <n v="-619.59600000000012"/>
  </r>
  <r>
    <n v="951"/>
    <s v="US-2019-110576"/>
    <d v="2019-11-28T00:00:00"/>
    <s v="Standard Class"/>
    <s v="Ross Baird"/>
    <s v="Philadelphia"/>
    <s v="Pennsylvania"/>
    <s v="East"/>
    <s v="Office Supplies"/>
    <s v="Paper"/>
    <s v="Xerox 210"/>
    <n v="15.552000000000003"/>
    <n v="3"/>
    <n v="0.2"/>
    <n v="5.4432"/>
  </r>
  <r>
    <n v="952"/>
    <s v="US-2019-110576"/>
    <d v="2019-11-28T00:00:00"/>
    <s v="Standard Class"/>
    <s v="Ross Baird"/>
    <s v="Philadelphia"/>
    <s v="Pennsylvania"/>
    <s v="East"/>
    <s v="Office Supplies"/>
    <s v="Paper"/>
    <s v="Xerox 4200 Series MultiUse Premium Copy Paper (20Lb. and 84 Bright)"/>
    <n v="25.344000000000001"/>
    <n v="6"/>
    <n v="0.2"/>
    <n v="7.92"/>
  </r>
  <r>
    <n v="953"/>
    <s v="CA-2019-131156"/>
    <d v="2019-04-03T00:00:00"/>
    <s v="Standard Class"/>
    <s v="Katherine Hughes"/>
    <s v="Philadelphia"/>
    <s v="Pennsylvania"/>
    <s v="East"/>
    <s v="Furniture"/>
    <s v="Furnishings"/>
    <s v="Staple-based wall hangings"/>
    <n v="25.472000000000001"/>
    <n v="4"/>
    <n v="0.2"/>
    <n v="7.6416000000000022"/>
  </r>
  <r>
    <n v="954"/>
    <s v="CA-2019-136539"/>
    <d v="2019-12-28T00:00:00"/>
    <s v="Standard Class"/>
    <s v="Greg Hansen"/>
    <s v="Round Rock"/>
    <s v="Texas"/>
    <s v="Central"/>
    <s v="Office Supplies"/>
    <s v="Art"/>
    <s v="Stanley Bostitch Contemporary Electric Pencil Sharpeners"/>
    <n v="27.168000000000003"/>
    <n v="2"/>
    <n v="0.2"/>
    <n v="2.7168000000000001"/>
  </r>
  <r>
    <n v="955"/>
    <s v="CA-2019-136539"/>
    <d v="2019-12-28T00:00:00"/>
    <s v="Standard Class"/>
    <s v="Greg Hansen"/>
    <s v="Round Rock"/>
    <s v="Texas"/>
    <s v="Central"/>
    <s v="Furniture"/>
    <s v="Bookcases"/>
    <s v="Bush Westfield Collection Bookcases, Medium Cherry Finish"/>
    <n v="78.852799999999988"/>
    <n v="2"/>
    <n v="0.32"/>
    <n v="-11.595999999999997"/>
  </r>
  <r>
    <n v="956"/>
    <s v="CA-2019-119305"/>
    <d v="2019-11-30T00:00:00"/>
    <s v="Standard Class"/>
    <s v="Scott Williamson"/>
    <s v="Jackson"/>
    <s v="Mississippi"/>
    <s v="South"/>
    <s v="Office Supplies"/>
    <s v="Storage"/>
    <s v="Home/Office Personal File Carts"/>
    <n v="173.79999999999998"/>
    <n v="5"/>
    <n v="0"/>
    <n v="43.449999999999989"/>
  </r>
  <r>
    <n v="957"/>
    <s v="CA-2019-102414"/>
    <d v="2019-05-15T00:00:00"/>
    <s v="Second Class"/>
    <s v="Joseph Airdo"/>
    <s v="Phoenix"/>
    <s v="Arizona"/>
    <s v="West"/>
    <s v="Technology"/>
    <s v="Phones"/>
    <s v="Logitech B530 USB Headset - headset - Full size, Binaural"/>
    <n v="29.592000000000002"/>
    <n v="1"/>
    <n v="0.2"/>
    <n v="2.5893000000000006"/>
  </r>
  <r>
    <n v="958"/>
    <s v="CA-2019-102414"/>
    <d v="2019-05-15T00:00:00"/>
    <s v="Second Class"/>
    <s v="Joseph Airdo"/>
    <s v="Phoenix"/>
    <s v="Arizona"/>
    <s v="West"/>
    <s v="Office Supplies"/>
    <s v="Binders"/>
    <s v="Avery Durable Slant Ring Binders"/>
    <n v="4.7520000000000007"/>
    <n v="2"/>
    <n v="0.7"/>
    <n v="-3.1679999999999993"/>
  </r>
  <r>
    <n v="959"/>
    <s v="CA-2019-102414"/>
    <d v="2019-05-15T00:00:00"/>
    <s v="Second Class"/>
    <s v="Joseph Airdo"/>
    <s v="Phoenix"/>
    <s v="Arizona"/>
    <s v="West"/>
    <s v="Office Supplies"/>
    <s v="Paper"/>
    <s v="Universal Ultra Bright White Copier/Laser Paper, 8 1/2&quot; x 11&quot;, Ream"/>
    <n v="15.552000000000003"/>
    <n v="3"/>
    <n v="0.2"/>
    <n v="5.6375999999999999"/>
  </r>
  <r>
    <n v="960"/>
    <s v="CA-2017-112571"/>
    <d v="2017-09-22T00:00:00"/>
    <s v="Same Day"/>
    <s v="Daniel Lacy"/>
    <s v="Oceanside"/>
    <s v="California"/>
    <s v="West"/>
    <s v="Furniture"/>
    <s v="Furnishings"/>
    <s v="Luxo Professional Combination Clamp-On Lamps"/>
    <n v="204.6"/>
    <n v="2"/>
    <n v="0"/>
    <n v="53.195999999999998"/>
  </r>
  <r>
    <n v="961"/>
    <s v="CA-2019-152142"/>
    <d v="2019-11-14T00:00:00"/>
    <s v="Standard Class"/>
    <s v="Lindsay Williams"/>
    <s v="San Francisco"/>
    <s v="California"/>
    <s v="West"/>
    <s v="Furniture"/>
    <s v="Chairs"/>
    <s v="Global Leather Highback Executive Chair with Pneumatic Height Adjustment, Black"/>
    <n v="321.56799999999998"/>
    <n v="2"/>
    <n v="0.2"/>
    <n v="28.137200000000007"/>
  </r>
  <r>
    <n v="962"/>
    <s v="CA-2017-160059"/>
    <d v="2017-11-27T00:00:00"/>
    <s v="Standard Class"/>
    <s v="Thomas Brumley"/>
    <s v="Fayetteville"/>
    <s v="Arkansas"/>
    <s v="South"/>
    <s v="Office Supplies"/>
    <s v="Binders"/>
    <s v="Zipper Ring Binder Pockets"/>
    <n v="6.24"/>
    <n v="2"/>
    <n v="0"/>
    <n v="3.0575999999999999"/>
  </r>
  <r>
    <n v="963"/>
    <s v="CA-2018-120859"/>
    <d v="2018-09-01T00:00:00"/>
    <s v="First Class"/>
    <s v="Cynthia Voltz"/>
    <s v="San Francisco"/>
    <s v="California"/>
    <s v="West"/>
    <s v="Office Supplies"/>
    <s v="Envelopes"/>
    <s v="White Business Envelopes with Contemporary Seam, Recycled White Business Envelopes"/>
    <n v="21.88"/>
    <n v="2"/>
    <n v="0"/>
    <n v="10.94"/>
  </r>
  <r>
    <n v="964"/>
    <s v="CA-2016-127488"/>
    <d v="2016-09-22T00:00:00"/>
    <s v="Second Class"/>
    <s v="Maribeth Schnelling"/>
    <s v="Boca Raton"/>
    <s v="Florida"/>
    <s v="South"/>
    <s v="Office Supplies"/>
    <s v="Labels"/>
    <s v="Avery File Folder Labels"/>
    <n v="4.6079999999999997"/>
    <n v="2"/>
    <n v="0.2"/>
    <n v="1.6704000000000001"/>
  </r>
  <r>
    <n v="965"/>
    <s v="CA-2019-135279"/>
    <d v="2019-04-09T00:00:00"/>
    <s v="First Class"/>
    <s v="Bryan Spruell"/>
    <s v="New York City"/>
    <s v="New York"/>
    <s v="East"/>
    <s v="Office Supplies"/>
    <s v="Labels"/>
    <s v="Color-Coded Legal Exhibit Labels"/>
    <n v="9.82"/>
    <n v="2"/>
    <n v="0"/>
    <n v="4.8117999999999999"/>
  </r>
  <r>
    <n v="966"/>
    <s v="CA-2019-135279"/>
    <d v="2019-04-09T00:00:00"/>
    <s v="First Class"/>
    <s v="Bryan Spruell"/>
    <s v="New York City"/>
    <s v="New York"/>
    <s v="East"/>
    <s v="Office Supplies"/>
    <s v="Art"/>
    <s v="Bulldog Vacuum Base Pencil Sharpener"/>
    <n v="35.97"/>
    <n v="3"/>
    <n v="0"/>
    <n v="9.7118999999999982"/>
  </r>
  <r>
    <n v="967"/>
    <s v="CA-2019-135279"/>
    <d v="2019-04-09T00:00:00"/>
    <s v="First Class"/>
    <s v="Bryan Spruell"/>
    <s v="New York City"/>
    <s v="New York"/>
    <s v="East"/>
    <s v="Office Supplies"/>
    <s v="Paper"/>
    <s v="Xerox 212"/>
    <n v="12.96"/>
    <n v="2"/>
    <n v="0"/>
    <n v="6.2208000000000006"/>
  </r>
  <r>
    <n v="968"/>
    <s v="CA-2019-135279"/>
    <d v="2019-04-09T00:00:00"/>
    <s v="First Class"/>
    <s v="Bryan Spruell"/>
    <s v="New York City"/>
    <s v="New York"/>
    <s v="East"/>
    <s v="Office Supplies"/>
    <s v="Paper"/>
    <s v="Computer Printout Paper with Letter-Trim Fine Perforations"/>
    <n v="191.6"/>
    <n v="4"/>
    <n v="0"/>
    <n v="91.967999999999989"/>
  </r>
  <r>
    <n v="969"/>
    <s v="CA-2019-135279"/>
    <d v="2019-04-09T00:00:00"/>
    <s v="First Class"/>
    <s v="Bryan Spruell"/>
    <s v="New York City"/>
    <s v="New York"/>
    <s v="East"/>
    <s v="Office Supplies"/>
    <s v="Labels"/>
    <s v="Avery File Folder Labels"/>
    <n v="8.64"/>
    <n v="3"/>
    <n v="0"/>
    <n v="4.2336"/>
  </r>
  <r>
    <n v="970"/>
    <s v="CA-2019-135279"/>
    <d v="2019-04-09T00:00:00"/>
    <s v="First Class"/>
    <s v="Bryan Spruell"/>
    <s v="New York City"/>
    <s v="New York"/>
    <s v="East"/>
    <s v="Office Supplies"/>
    <s v="Storage"/>
    <s v="Office Impressions Heavy Duty Welded Shelving &amp; Multimedia Storage Drawers"/>
    <n v="501.81000000000006"/>
    <n v="3"/>
    <n v="0"/>
    <n v="0"/>
  </r>
  <r>
    <n v="971"/>
    <s v="CA-2016-115791"/>
    <d v="2016-01-16T00:00:00"/>
    <s v="Second Class"/>
    <s v="Delfina Latchford"/>
    <s v="Philadelphia"/>
    <s v="Pennsylvania"/>
    <s v="East"/>
    <s v="Furniture"/>
    <s v="Furnishings"/>
    <s v="DAX Black Cherry Wood-Tone Poster Frame"/>
    <n v="127.10400000000001"/>
    <n v="6"/>
    <n v="0.2"/>
    <n v="28.598399999999998"/>
  </r>
  <r>
    <n v="972"/>
    <s v="CA-2016-115791"/>
    <d v="2016-01-16T00:00:00"/>
    <s v="Second Class"/>
    <s v="Delfina Latchford"/>
    <s v="Philadelphia"/>
    <s v="Pennsylvania"/>
    <s v="East"/>
    <s v="Technology"/>
    <s v="Phones"/>
    <s v="AT&amp;T 841000 Phone"/>
    <n v="124.19999999999999"/>
    <n v="3"/>
    <n v="0.4"/>
    <n v="-31.050000000000011"/>
  </r>
  <r>
    <n v="973"/>
    <s v="CA-2016-115791"/>
    <d v="2016-01-16T00:00:00"/>
    <s v="Second Class"/>
    <s v="Delfina Latchford"/>
    <s v="Philadelphia"/>
    <s v="Pennsylvania"/>
    <s v="East"/>
    <s v="Office Supplies"/>
    <s v="Binders"/>
    <s v="GBC Linen Binding Covers"/>
    <n v="18.588000000000005"/>
    <n v="2"/>
    <n v="0.7"/>
    <n v="-13.6312"/>
  </r>
  <r>
    <n v="974"/>
    <s v="CA-2016-115791"/>
    <d v="2016-01-16T00:00:00"/>
    <s v="Second Class"/>
    <s v="Delfina Latchford"/>
    <s v="Philadelphia"/>
    <s v="Pennsylvania"/>
    <s v="East"/>
    <s v="Office Supplies"/>
    <s v="Labels"/>
    <s v="Round Specialty Laser Printer Labels"/>
    <n v="30.072000000000003"/>
    <n v="3"/>
    <n v="0.2"/>
    <n v="10.149299999999997"/>
  </r>
  <r>
    <n v="975"/>
    <s v="US-2019-103247"/>
    <d v="2019-10-05T00:00:00"/>
    <s v="Second Class"/>
    <s v="Phillina Ober"/>
    <s v="New York City"/>
    <s v="New York"/>
    <s v="East"/>
    <s v="Technology"/>
    <s v="Phones"/>
    <s v="Motorola HK250 Universal Bluetooth Headset"/>
    <n v="160.92999999999998"/>
    <n v="7"/>
    <n v="0"/>
    <n v="3.2186000000000092"/>
  </r>
  <r>
    <n v="976"/>
    <s v="US-2019-103247"/>
    <d v="2019-10-05T00:00:00"/>
    <s v="Second Class"/>
    <s v="Phillina Ober"/>
    <s v="New York City"/>
    <s v="New York"/>
    <s v="East"/>
    <s v="Office Supplies"/>
    <s v="Binders"/>
    <s v="Tuf-Vin Binders"/>
    <n v="75.792000000000002"/>
    <n v="3"/>
    <n v="0.2"/>
    <n v="25.579799999999992"/>
  </r>
  <r>
    <n v="977"/>
    <s v="US-2019-100209"/>
    <d v="2019-07-09T00:00:00"/>
    <s v="Standard Class"/>
    <s v="Tamara Dahlen"/>
    <s v="Portland"/>
    <s v="Oregon"/>
    <s v="West"/>
    <s v="Office Supplies"/>
    <s v="Binders"/>
    <s v="Wilson Jones Easy Flow II Sheet Lifters"/>
    <n v="1.0800000000000003"/>
    <n v="2"/>
    <n v="0.7"/>
    <n v="-0.79200000000000004"/>
  </r>
  <r>
    <n v="978"/>
    <s v="CA-2019-159366"/>
    <d v="2019-01-07T00:00:00"/>
    <s v="First Class"/>
    <s v="Bart Watters"/>
    <s v="Detroit"/>
    <s v="Michigan"/>
    <s v="Central"/>
    <s v="Technology"/>
    <s v="Machines"/>
    <s v="Lexmark MX611dhe Monochrome Laser Printer"/>
    <n v="3059.982"/>
    <n v="2"/>
    <n v="0.1"/>
    <n v="679.99599999999964"/>
  </r>
  <r>
    <n v="979"/>
    <s v="CA-2018-145499"/>
    <d v="2018-05-30T00:00:00"/>
    <s v="First Class"/>
    <s v="Robert Waldorf"/>
    <s v="Wilmington"/>
    <s v="North Carolina"/>
    <s v="South"/>
    <s v="Office Supplies"/>
    <s v="Binders"/>
    <s v="Angle-D Ring Binders"/>
    <n v="3.2820000000000005"/>
    <n v="2"/>
    <n v="0.7"/>
    <n v="-2.6256000000000004"/>
  </r>
  <r>
    <n v="980"/>
    <s v="CA-2017-157035"/>
    <d v="2017-12-09T00:00:00"/>
    <s v="First Class"/>
    <s v="Ken Brennan"/>
    <s v="Columbus"/>
    <s v="Indiana"/>
    <s v="Central"/>
    <s v="Office Supplies"/>
    <s v="Paper"/>
    <s v="Xerox 188"/>
    <n v="34.019999999999996"/>
    <n v="3"/>
    <n v="0"/>
    <n v="16.669799999999999"/>
  </r>
  <r>
    <n v="981"/>
    <s v="CA-2018-144939"/>
    <d v="2018-10-03T00:00:00"/>
    <s v="Standard Class"/>
    <s v="Emily Burns"/>
    <s v="New York City"/>
    <s v="New York"/>
    <s v="East"/>
    <s v="Furniture"/>
    <s v="Chairs"/>
    <s v="Office Star - Contemporary Task Swivel Chair"/>
    <n v="599.29200000000003"/>
    <n v="6"/>
    <n v="0.1"/>
    <n v="93.223199999999977"/>
  </r>
  <r>
    <n v="982"/>
    <s v="CA-2016-163419"/>
    <d v="2016-11-11T00:00:00"/>
    <s v="Second Class"/>
    <s v="Tracy Zic"/>
    <s v="Louisville"/>
    <s v="Colorado"/>
    <s v="West"/>
    <s v="Office Supplies"/>
    <s v="Art"/>
    <s v="BIC Brite Liner Grip Highlighters, Assorted, 5/Pack"/>
    <n v="3.3920000000000003"/>
    <n v="1"/>
    <n v="0.2"/>
    <n v="0.80559999999999987"/>
  </r>
  <r>
    <n v="983"/>
    <s v="CA-2016-163419"/>
    <d v="2016-11-11T00:00:00"/>
    <s v="Second Class"/>
    <s v="Tracy Zic"/>
    <s v="Louisville"/>
    <s v="Colorado"/>
    <s v="West"/>
    <s v="Technology"/>
    <s v="Phones"/>
    <s v="Samsung Galaxy S III - 16GB - pebble blue (T-Mobile)"/>
    <n v="559.98400000000004"/>
    <n v="2"/>
    <n v="0.2"/>
    <n v="55.998400000000032"/>
  </r>
  <r>
    <n v="984"/>
    <s v="CA-2016-163419"/>
    <d v="2016-11-11T00:00:00"/>
    <s v="Second Class"/>
    <s v="Tracy Zic"/>
    <s v="Louisville"/>
    <s v="Colorado"/>
    <s v="West"/>
    <s v="Furniture"/>
    <s v="Chairs"/>
    <s v="Global Airflow Leather Mesh Back Chair, Black"/>
    <n v="603.91999999999996"/>
    <n v="5"/>
    <n v="0.2"/>
    <n v="75.489999999999924"/>
  </r>
  <r>
    <n v="985"/>
    <s v="CA-2019-100314"/>
    <d v="2019-09-29T00:00:00"/>
    <s v="Standard Class"/>
    <s v="Ann Steele"/>
    <s v="Pasadena"/>
    <s v="Texas"/>
    <s v="Central"/>
    <s v="Office Supplies"/>
    <s v="Labels"/>
    <s v="Avery 499"/>
    <n v="7.9680000000000009"/>
    <n v="2"/>
    <n v="0.2"/>
    <n v="2.5895999999999999"/>
  </r>
  <r>
    <n v="986"/>
    <s v="CA-2019-100314"/>
    <d v="2019-09-29T00:00:00"/>
    <s v="Standard Class"/>
    <s v="Ann Steele"/>
    <s v="Pasadena"/>
    <s v="Texas"/>
    <s v="Central"/>
    <s v="Office Supplies"/>
    <s v="Envelopes"/>
    <s v="#10- 4 1/8&quot; x 9 1/2&quot; Recycled Envelopes"/>
    <n v="27.968000000000004"/>
    <n v="4"/>
    <n v="0.2"/>
    <n v="9.4391999999999996"/>
  </r>
  <r>
    <n v="987"/>
    <s v="CA-2019-100314"/>
    <d v="2019-09-29T00:00:00"/>
    <s v="Standard Class"/>
    <s v="Ann Steele"/>
    <s v="Pasadena"/>
    <s v="Texas"/>
    <s v="Central"/>
    <s v="Technology"/>
    <s v="Machines"/>
    <s v="Wasp CCD Handheld Bar Code Reader"/>
    <n v="336.51"/>
    <n v="3"/>
    <n v="0.4"/>
    <n v="44.867999999999967"/>
  </r>
  <r>
    <n v="988"/>
    <s v="CA-2017-146829"/>
    <d v="2017-03-10T00:00:00"/>
    <s v="Same Day"/>
    <s v="Toby Swindell"/>
    <s v="Houston"/>
    <s v="Texas"/>
    <s v="Central"/>
    <s v="Office Supplies"/>
    <s v="Binders"/>
    <s v="Acco Suede Grain Vinyl Round Ring Binder"/>
    <n v="1.1119999999999997"/>
    <n v="2"/>
    <n v="0.8"/>
    <n v="-1.8904000000000001"/>
  </r>
  <r>
    <n v="989"/>
    <s v="CA-2019-167899"/>
    <d v="2019-05-21T00:00:00"/>
    <s v="Standard Class"/>
    <s v="John Grady"/>
    <s v="Auburn"/>
    <s v="New York"/>
    <s v="East"/>
    <s v="Furniture"/>
    <s v="Furnishings"/>
    <s v="Luxo Professional Magnifying Clamp-On Fluorescent Lamps"/>
    <n v="520.05000000000007"/>
    <n v="5"/>
    <n v="0"/>
    <n v="72.807000000000031"/>
  </r>
  <r>
    <n v="990"/>
    <s v="CA-2019-167899"/>
    <d v="2019-05-21T00:00:00"/>
    <s v="Standard Class"/>
    <s v="John Grady"/>
    <s v="Auburn"/>
    <s v="New York"/>
    <s v="East"/>
    <s v="Office Supplies"/>
    <s v="Art"/>
    <s v="Bulldog Table or Wall-Mount Pencil Sharpener"/>
    <n v="17.97"/>
    <n v="3"/>
    <n v="0"/>
    <n v="5.2112999999999996"/>
  </r>
  <r>
    <n v="991"/>
    <s v="CA-2017-153549"/>
    <d v="2017-03-29T00:00:00"/>
    <s v="Second Class"/>
    <s v="Sara Luxemburg"/>
    <s v="Jacksonville"/>
    <s v="Florida"/>
    <s v="South"/>
    <s v="Furniture"/>
    <s v="Chairs"/>
    <s v="Hon 4070 Series Pagoda Armless Upholstered Stacking Chairs"/>
    <n v="1166.92"/>
    <n v="5"/>
    <n v="0.2"/>
    <n v="131.27849999999995"/>
  </r>
  <r>
    <n v="992"/>
    <s v="CA-2018-110023"/>
    <d v="2018-09-09T00:00:00"/>
    <s v="First Class"/>
    <s v="Troy Staebel"/>
    <s v="New York City"/>
    <s v="New York"/>
    <s v="East"/>
    <s v="Office Supplies"/>
    <s v="Binders"/>
    <s v="Cardinal EasyOpen D-Ring Binders"/>
    <n v="14.624000000000002"/>
    <n v="2"/>
    <n v="0.2"/>
    <n v="5.484"/>
  </r>
  <r>
    <n v="993"/>
    <s v="CA-2018-105585"/>
    <d v="2018-08-26T00:00:00"/>
    <s v="First Class"/>
    <s v="Roland Fjeld"/>
    <s v="San Jose"/>
    <s v="California"/>
    <s v="West"/>
    <s v="Office Supplies"/>
    <s v="Fasteners"/>
    <s v="Advantus SlideClip Paper Clips"/>
    <n v="10.23"/>
    <n v="3"/>
    <n v="0"/>
    <n v="4.9104000000000001"/>
  </r>
  <r>
    <n v="994"/>
    <s v="CA-2018-105585"/>
    <d v="2018-08-26T00:00:00"/>
    <s v="First Class"/>
    <s v="Roland Fjeld"/>
    <s v="San Jose"/>
    <s v="California"/>
    <s v="West"/>
    <s v="Office Supplies"/>
    <s v="Paper"/>
    <s v="Xerox 1979"/>
    <n v="154.9"/>
    <n v="5"/>
    <n v="0"/>
    <n v="69.704999999999998"/>
  </r>
  <r>
    <n v="995"/>
    <s v="CA-2016-117639"/>
    <d v="2016-05-21T00:00:00"/>
    <s v="Standard Class"/>
    <s v="Mitch Willingham"/>
    <s v="Virginia Beach"/>
    <s v="Virginia"/>
    <s v="South"/>
    <s v="Office Supplies"/>
    <s v="Binders"/>
    <s v="Fellowes PB300 Plastic Comb Binding Machine"/>
    <n v="2715.9300000000003"/>
    <n v="7"/>
    <n v="0"/>
    <n v="1276.4871000000001"/>
  </r>
  <r>
    <n v="996"/>
    <s v="CA-2016-117639"/>
    <d v="2016-05-21T00:00:00"/>
    <s v="Standard Class"/>
    <s v="Mitch Willingham"/>
    <s v="Virginia Beach"/>
    <s v="Virginia"/>
    <s v="South"/>
    <s v="Technology"/>
    <s v="Phones"/>
    <s v="Plantronics Voyager Pro Legend"/>
    <n v="617.97"/>
    <n v="3"/>
    <n v="0"/>
    <n v="173.0316"/>
  </r>
  <r>
    <n v="997"/>
    <s v="CA-2017-162537"/>
    <d v="2017-10-28T00:00:00"/>
    <s v="Standard Class"/>
    <s v="Rob Dowd"/>
    <s v="Henderson"/>
    <s v="Kentucky"/>
    <s v="South"/>
    <s v="Office Supplies"/>
    <s v="Envelopes"/>
    <s v="Laser &amp; Ink Jet Business Envelopes"/>
    <n v="10.67"/>
    <n v="1"/>
    <n v="0"/>
    <n v="4.9081999999999999"/>
  </r>
  <r>
    <n v="998"/>
    <s v="CA-2017-162537"/>
    <d v="2017-10-28T00:00:00"/>
    <s v="Standard Class"/>
    <s v="Rob Dowd"/>
    <s v="Henderson"/>
    <s v="Kentucky"/>
    <s v="South"/>
    <s v="Office Supplies"/>
    <s v="Storage"/>
    <s v="Portable Personal File Box"/>
    <n v="36.630000000000003"/>
    <n v="3"/>
    <n v="0"/>
    <n v="9.8901000000000039"/>
  </r>
  <r>
    <n v="999"/>
    <s v="CA-2017-162537"/>
    <d v="2017-10-28T00:00:00"/>
    <s v="Standard Class"/>
    <s v="Rob Dowd"/>
    <s v="Henderson"/>
    <s v="Kentucky"/>
    <s v="South"/>
    <s v="Furniture"/>
    <s v="Furnishings"/>
    <s v="Magna Visual Magnetic Picture Hangers"/>
    <n v="24.1"/>
    <n v="5"/>
    <n v="0"/>
    <n v="9.1580000000000013"/>
  </r>
  <r>
    <n v="1000"/>
    <s v="CA-2017-162537"/>
    <d v="2017-10-28T00:00:00"/>
    <s v="Standard Class"/>
    <s v="Rob Dowd"/>
    <s v="Henderson"/>
    <s v="Kentucky"/>
    <s v="South"/>
    <s v="Furniture"/>
    <s v="Furnishings"/>
    <s v="C-Line Cubicle Keepers Polyproplyene Holder With Velcro Backings"/>
    <n v="33.11"/>
    <n v="7"/>
    <n v="0"/>
    <n v="12.9129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x v="0"/>
    <x v="0"/>
    <x v="0"/>
    <s v="Henderson"/>
    <x v="0"/>
    <x v="0"/>
    <x v="0"/>
    <x v="0"/>
    <s v="Bush Somerset Collection Bookcase"/>
    <n v="261.95999999999998"/>
    <n v="2"/>
    <n v="0"/>
    <n v="41.913600000000002"/>
  </r>
  <r>
    <n v="2"/>
    <s v="CA-2018-152156"/>
    <x v="0"/>
    <x v="0"/>
    <x v="0"/>
    <s v="Henderson"/>
    <x v="0"/>
    <x v="0"/>
    <x v="0"/>
    <x v="1"/>
    <s v="Hon Deluxe Fabric Upholstered Stacking Chairs, Rounded Back"/>
    <n v="731.93999999999994"/>
    <n v="3"/>
    <n v="0"/>
    <n v="219.58199999999997"/>
  </r>
  <r>
    <n v="3"/>
    <s v="CA-2018-138688"/>
    <x v="1"/>
    <x v="0"/>
    <x v="1"/>
    <s v="Los Angeles"/>
    <x v="1"/>
    <x v="1"/>
    <x v="1"/>
    <x v="2"/>
    <s v="Self-Adhesive Address Labels for Typewriters by Universal"/>
    <n v="14.62"/>
    <n v="2"/>
    <n v="0"/>
    <n v="6.8713999999999995"/>
  </r>
  <r>
    <n v="4"/>
    <s v="US-2017-108966"/>
    <x v="2"/>
    <x v="1"/>
    <x v="2"/>
    <s v="Fort Lauderdale"/>
    <x v="2"/>
    <x v="0"/>
    <x v="0"/>
    <x v="3"/>
    <s v="Bretford CR4500 Series Slim Rectangular Table"/>
    <n v="957.57749999999999"/>
    <n v="5"/>
    <n v="0.45"/>
    <n v="-383.03100000000006"/>
  </r>
  <r>
    <n v="5"/>
    <s v="US-2017-108966"/>
    <x v="2"/>
    <x v="1"/>
    <x v="2"/>
    <s v="Fort Lauderdale"/>
    <x v="2"/>
    <x v="0"/>
    <x v="1"/>
    <x v="4"/>
    <s v="Eldon Fold 'N Roll Cart System"/>
    <n v="22.368000000000002"/>
    <n v="2"/>
    <n v="0.2"/>
    <n v="2.5163999999999991"/>
  </r>
  <r>
    <n v="6"/>
    <s v="CA-2016-115812"/>
    <x v="3"/>
    <x v="1"/>
    <x v="3"/>
    <s v="Los Angeles"/>
    <x v="1"/>
    <x v="1"/>
    <x v="0"/>
    <x v="5"/>
    <s v="Eldon Expressions Wood and Plastic Desk Accessories, Cherry Wood"/>
    <n v="48.86"/>
    <n v="7"/>
    <n v="0"/>
    <n v="14.169399999999996"/>
  </r>
  <r>
    <n v="7"/>
    <s v="CA-2016-115812"/>
    <x v="3"/>
    <x v="1"/>
    <x v="3"/>
    <s v="Los Angeles"/>
    <x v="1"/>
    <x v="1"/>
    <x v="1"/>
    <x v="6"/>
    <s v="Newell 322"/>
    <n v="7.28"/>
    <n v="4"/>
    <n v="0"/>
    <n v="1.9656000000000002"/>
  </r>
  <r>
    <n v="8"/>
    <s v="CA-2016-115812"/>
    <x v="3"/>
    <x v="1"/>
    <x v="3"/>
    <s v="Los Angeles"/>
    <x v="1"/>
    <x v="1"/>
    <x v="2"/>
    <x v="7"/>
    <s v="Mitel 5320 IP Phone VoIP phone"/>
    <n v="907.15200000000004"/>
    <n v="6"/>
    <n v="0.2"/>
    <n v="90.715200000000038"/>
  </r>
  <r>
    <n v="9"/>
    <s v="CA-2016-115812"/>
    <x v="3"/>
    <x v="1"/>
    <x v="3"/>
    <s v="Los Angeles"/>
    <x v="1"/>
    <x v="1"/>
    <x v="1"/>
    <x v="8"/>
    <s v="DXL Angle-View Binders with Locking Rings by Samsill"/>
    <n v="18.504000000000001"/>
    <n v="3"/>
    <n v="0.2"/>
    <n v="5.7824999999999998"/>
  </r>
  <r>
    <n v="10"/>
    <s v="CA-2016-115812"/>
    <x v="3"/>
    <x v="1"/>
    <x v="3"/>
    <s v="Los Angeles"/>
    <x v="1"/>
    <x v="1"/>
    <x v="1"/>
    <x v="9"/>
    <s v="Belkin F5C206VTEL 6 Outlet Surge"/>
    <n v="114.9"/>
    <n v="5"/>
    <n v="0"/>
    <n v="34.469999999999992"/>
  </r>
  <r>
    <n v="11"/>
    <s v="CA-2016-115812"/>
    <x v="3"/>
    <x v="1"/>
    <x v="3"/>
    <s v="Los Angeles"/>
    <x v="1"/>
    <x v="1"/>
    <x v="0"/>
    <x v="3"/>
    <s v="Chromcraft Rectangular Conference Tables"/>
    <n v="1706.1840000000002"/>
    <n v="9"/>
    <n v="0.2"/>
    <n v="85.309199999999805"/>
  </r>
  <r>
    <n v="12"/>
    <s v="CA-2016-115812"/>
    <x v="3"/>
    <x v="1"/>
    <x v="3"/>
    <s v="Los Angeles"/>
    <x v="1"/>
    <x v="1"/>
    <x v="2"/>
    <x v="7"/>
    <s v="Konftel 250 Conference phone - Charcoal black"/>
    <n v="911.42399999999998"/>
    <n v="4"/>
    <n v="0.2"/>
    <n v="68.356800000000021"/>
  </r>
  <r>
    <n v="13"/>
    <s v="CA-2019-114412"/>
    <x v="4"/>
    <x v="1"/>
    <x v="4"/>
    <s v="Concord"/>
    <x v="3"/>
    <x v="0"/>
    <x v="1"/>
    <x v="10"/>
    <s v="Xerox 1967"/>
    <n v="15.552000000000003"/>
    <n v="3"/>
    <n v="0.2"/>
    <n v="5.4432"/>
  </r>
  <r>
    <n v="14"/>
    <s v="CA-2018-161389"/>
    <x v="5"/>
    <x v="1"/>
    <x v="5"/>
    <s v="Seattle"/>
    <x v="4"/>
    <x v="1"/>
    <x v="1"/>
    <x v="8"/>
    <s v="Fellowes PB200 Plastic Comb Binding Machine"/>
    <n v="407.97600000000006"/>
    <n v="3"/>
    <n v="0.2"/>
    <n v="132.59219999999993"/>
  </r>
  <r>
    <n v="15"/>
    <s v="US-2017-118983"/>
    <x v="6"/>
    <x v="1"/>
    <x v="6"/>
    <s v="Fort Worth"/>
    <x v="5"/>
    <x v="2"/>
    <x v="1"/>
    <x v="9"/>
    <s v="Holmes Replacement Filter for HEPA Air Cleaner, Very Large Room, HEPA Filter"/>
    <n v="68.809999999999988"/>
    <n v="5"/>
    <n v="0.8"/>
    <n v="-123.858"/>
  </r>
  <r>
    <n v="16"/>
    <s v="US-2017-118983"/>
    <x v="6"/>
    <x v="1"/>
    <x v="6"/>
    <s v="Fort Worth"/>
    <x v="5"/>
    <x v="2"/>
    <x v="1"/>
    <x v="8"/>
    <s v="Storex DuraTech Recycled Plastic Frosted Binders"/>
    <n v="2.5439999999999996"/>
    <n v="3"/>
    <n v="0.8"/>
    <n v="-3.8160000000000016"/>
  </r>
  <r>
    <n v="17"/>
    <s v="CA-2016-105893"/>
    <x v="7"/>
    <x v="1"/>
    <x v="7"/>
    <s v="Madison"/>
    <x v="6"/>
    <x v="2"/>
    <x v="1"/>
    <x v="4"/>
    <s v="Stur-D-Stor Shelving, Vertical 5-Shelf: 72&quot;H x 36&quot;W x 18 1/2&quot;D"/>
    <n v="665.88"/>
    <n v="6"/>
    <n v="0"/>
    <n v="13.317599999999999"/>
  </r>
  <r>
    <n v="18"/>
    <s v="CA-2016-167164"/>
    <x v="8"/>
    <x v="0"/>
    <x v="8"/>
    <s v="West Jordan"/>
    <x v="7"/>
    <x v="1"/>
    <x v="1"/>
    <x v="4"/>
    <s v="Fellowes Super Stor/Drawer"/>
    <n v="55.5"/>
    <n v="2"/>
    <n v="0"/>
    <n v="9.9899999999999949"/>
  </r>
  <r>
    <n v="19"/>
    <s v="CA-2016-143336"/>
    <x v="9"/>
    <x v="0"/>
    <x v="9"/>
    <s v="San Francisco"/>
    <x v="1"/>
    <x v="1"/>
    <x v="1"/>
    <x v="6"/>
    <s v="Newell 341"/>
    <n v="8.56"/>
    <n v="2"/>
    <n v="0"/>
    <n v="2.4823999999999993"/>
  </r>
  <r>
    <n v="20"/>
    <s v="CA-2016-143336"/>
    <x v="9"/>
    <x v="0"/>
    <x v="9"/>
    <s v="San Francisco"/>
    <x v="1"/>
    <x v="1"/>
    <x v="2"/>
    <x v="7"/>
    <s v="Cisco SPA 501G IP Phone"/>
    <n v="213.48000000000002"/>
    <n v="3"/>
    <n v="0.2"/>
    <n v="16.010999999999981"/>
  </r>
  <r>
    <n v="21"/>
    <s v="CA-2016-143336"/>
    <x v="9"/>
    <x v="0"/>
    <x v="9"/>
    <s v="San Francisco"/>
    <x v="1"/>
    <x v="1"/>
    <x v="1"/>
    <x v="8"/>
    <s v="Wilson Jones Hanging View Binder, White, 1&quot;"/>
    <n v="22.72"/>
    <n v="4"/>
    <n v="0.2"/>
    <n v="7.3839999999999986"/>
  </r>
  <r>
    <n v="22"/>
    <s v="CA-2018-137330"/>
    <x v="10"/>
    <x v="1"/>
    <x v="10"/>
    <s v="Fremont"/>
    <x v="8"/>
    <x v="2"/>
    <x v="1"/>
    <x v="6"/>
    <s v="Newell 318"/>
    <n v="19.459999999999997"/>
    <n v="7"/>
    <n v="0"/>
    <n v="5.0595999999999997"/>
  </r>
  <r>
    <n v="23"/>
    <s v="CA-2018-137330"/>
    <x v="10"/>
    <x v="1"/>
    <x v="10"/>
    <s v="Fremont"/>
    <x v="8"/>
    <x v="2"/>
    <x v="1"/>
    <x v="9"/>
    <s v="Acco Six-Outlet Power Strip, 4' Cord Length"/>
    <n v="60.339999999999996"/>
    <n v="7"/>
    <n v="0"/>
    <n v="15.688400000000001"/>
  </r>
  <r>
    <n v="24"/>
    <s v="US-2019-156909"/>
    <x v="11"/>
    <x v="0"/>
    <x v="11"/>
    <s v="Philadelphia"/>
    <x v="9"/>
    <x v="3"/>
    <x v="0"/>
    <x v="1"/>
    <s v="Global Deluxe Stacking Chair, Gray"/>
    <n v="71.371999999999986"/>
    <n v="2"/>
    <n v="0.3"/>
    <n v="-1.0196000000000005"/>
  </r>
  <r>
    <n v="25"/>
    <s v="CA-2017-106320"/>
    <x v="12"/>
    <x v="1"/>
    <x v="12"/>
    <s v="Orem"/>
    <x v="7"/>
    <x v="1"/>
    <x v="0"/>
    <x v="3"/>
    <s v="Bretford CR4500 Series Slim Rectangular Table"/>
    <n v="1044.6299999999999"/>
    <n v="3"/>
    <n v="0"/>
    <n v="240.26490000000001"/>
  </r>
  <r>
    <n v="26"/>
    <s v="CA-2018-121755"/>
    <x v="13"/>
    <x v="0"/>
    <x v="13"/>
    <s v="Los Angeles"/>
    <x v="1"/>
    <x v="1"/>
    <x v="1"/>
    <x v="8"/>
    <s v="Wilson Jones Active Use Binders"/>
    <n v="11.648000000000001"/>
    <n v="2"/>
    <n v="0.2"/>
    <n v="4.2224000000000004"/>
  </r>
  <r>
    <n v="27"/>
    <s v="CA-2018-121755"/>
    <x v="13"/>
    <x v="0"/>
    <x v="13"/>
    <s v="Los Angeles"/>
    <x v="1"/>
    <x v="1"/>
    <x v="2"/>
    <x v="11"/>
    <s v="Imation 8GB Mini TravelDrive USB 2.0 Flash Drive"/>
    <n v="90.570000000000007"/>
    <n v="3"/>
    <n v="0"/>
    <n v="11.774100000000004"/>
  </r>
  <r>
    <n v="28"/>
    <s v="US-2017-150630"/>
    <x v="14"/>
    <x v="1"/>
    <x v="14"/>
    <s v="Philadelphia"/>
    <x v="9"/>
    <x v="3"/>
    <x v="0"/>
    <x v="0"/>
    <s v="Riverside Palais Royal Lawyers Bookcase, Royale Cherry Finish"/>
    <n v="3083.4300000000003"/>
    <n v="7"/>
    <n v="0.5"/>
    <n v="-1665.0522000000001"/>
  </r>
  <r>
    <n v="29"/>
    <s v="US-2017-150630"/>
    <x v="14"/>
    <x v="1"/>
    <x v="14"/>
    <s v="Philadelphia"/>
    <x v="9"/>
    <x v="3"/>
    <x v="1"/>
    <x v="8"/>
    <s v="Avery Recycled Flexi-View Covers for Binding Systems"/>
    <n v="9.6180000000000021"/>
    <n v="2"/>
    <n v="0.7"/>
    <n v="-7.0532000000000004"/>
  </r>
  <r>
    <n v="30"/>
    <s v="US-2017-150630"/>
    <x v="14"/>
    <x v="1"/>
    <x v="14"/>
    <s v="Philadelphia"/>
    <x v="9"/>
    <x v="3"/>
    <x v="0"/>
    <x v="5"/>
    <s v="Howard Miller 13-3/4&quot; Diameter Brushed Chrome Round Wall Clock"/>
    <n v="124.20000000000002"/>
    <n v="3"/>
    <n v="0.2"/>
    <n v="15.524999999999991"/>
  </r>
  <r>
    <n v="31"/>
    <s v="US-2017-150630"/>
    <x v="14"/>
    <x v="1"/>
    <x v="14"/>
    <s v="Philadelphia"/>
    <x v="9"/>
    <x v="3"/>
    <x v="1"/>
    <x v="12"/>
    <s v="Poly String Tie Envelopes"/>
    <n v="3.2640000000000002"/>
    <n v="2"/>
    <n v="0.2"/>
    <n v="1.1015999999999997"/>
  </r>
  <r>
    <n v="32"/>
    <s v="US-2017-150630"/>
    <x v="14"/>
    <x v="1"/>
    <x v="14"/>
    <s v="Philadelphia"/>
    <x v="9"/>
    <x v="3"/>
    <x v="1"/>
    <x v="6"/>
    <s v="BOSTON Model 1800 Electric Pencil Sharpeners, Putty/Woodgrain"/>
    <n v="86.304000000000002"/>
    <n v="6"/>
    <n v="0.2"/>
    <n v="9.7091999999999885"/>
  </r>
  <r>
    <n v="33"/>
    <s v="US-2017-150630"/>
    <x v="14"/>
    <x v="1"/>
    <x v="14"/>
    <s v="Philadelphia"/>
    <x v="9"/>
    <x v="3"/>
    <x v="1"/>
    <x v="8"/>
    <s v="Acco Pressboard Covers with Storage Hooks, 14 7/8&quot; x 11&quot;, Executive Red"/>
    <n v="6.8580000000000014"/>
    <n v="6"/>
    <n v="0.7"/>
    <n v="-5.7149999999999999"/>
  </r>
  <r>
    <n v="34"/>
    <s v="US-2017-150630"/>
    <x v="14"/>
    <x v="1"/>
    <x v="14"/>
    <s v="Philadelphia"/>
    <x v="9"/>
    <x v="3"/>
    <x v="1"/>
    <x v="6"/>
    <s v="Lumber Crayons"/>
    <n v="15.76"/>
    <n v="2"/>
    <n v="0.2"/>
    <n v="3.5460000000000007"/>
  </r>
  <r>
    <n v="35"/>
    <s v="CA-2019-107727"/>
    <x v="15"/>
    <x v="0"/>
    <x v="15"/>
    <s v="Houston"/>
    <x v="5"/>
    <x v="2"/>
    <x v="1"/>
    <x v="10"/>
    <s v="Easy-staple paper"/>
    <n v="29.472000000000001"/>
    <n v="3"/>
    <n v="0.2"/>
    <n v="9.9467999999999979"/>
  </r>
  <r>
    <n v="36"/>
    <s v="CA-2018-117590"/>
    <x v="16"/>
    <x v="2"/>
    <x v="16"/>
    <s v="Richardson"/>
    <x v="5"/>
    <x v="2"/>
    <x v="2"/>
    <x v="7"/>
    <s v="GE 30524EE4"/>
    <n v="1097.5440000000003"/>
    <n v="7"/>
    <n v="0.2"/>
    <n v="123.47369999999989"/>
  </r>
  <r>
    <n v="37"/>
    <s v="CA-2018-117590"/>
    <x v="16"/>
    <x v="2"/>
    <x v="16"/>
    <s v="Richardson"/>
    <x v="5"/>
    <x v="2"/>
    <x v="0"/>
    <x v="5"/>
    <s v="Electrix Architect's Clamp-On Swing Arm Lamp, Black"/>
    <n v="190.92"/>
    <n v="5"/>
    <n v="0.6"/>
    <n v="-147.96300000000002"/>
  </r>
  <r>
    <n v="38"/>
    <s v="CA-2017-117415"/>
    <x v="17"/>
    <x v="1"/>
    <x v="17"/>
    <s v="Houston"/>
    <x v="5"/>
    <x v="2"/>
    <x v="1"/>
    <x v="12"/>
    <s v="#10-4 1/8&quot; x 9 1/2&quot; Premium Diagonal Seam Envelopes"/>
    <n v="113.328"/>
    <n v="9"/>
    <n v="0.2"/>
    <n v="35.414999999999999"/>
  </r>
  <r>
    <n v="39"/>
    <s v="CA-2017-117415"/>
    <x v="17"/>
    <x v="1"/>
    <x v="17"/>
    <s v="Houston"/>
    <x v="5"/>
    <x v="2"/>
    <x v="0"/>
    <x v="0"/>
    <s v="Atlantic Metals Mobile 3-Shelf Bookcases, Custom Colors"/>
    <n v="532.39919999999995"/>
    <n v="3"/>
    <n v="0.32"/>
    <n v="-46.976400000000012"/>
  </r>
  <r>
    <n v="40"/>
    <s v="CA-2017-117415"/>
    <x v="17"/>
    <x v="1"/>
    <x v="17"/>
    <s v="Houston"/>
    <x v="5"/>
    <x v="2"/>
    <x v="0"/>
    <x v="1"/>
    <s v="Global Fabric Manager's Chair, Dark Gray"/>
    <n v="212.05799999999999"/>
    <n v="3"/>
    <n v="0.3"/>
    <n v="-15.146999999999991"/>
  </r>
  <r>
    <n v="41"/>
    <s v="CA-2017-117415"/>
    <x v="17"/>
    <x v="1"/>
    <x v="17"/>
    <s v="Houston"/>
    <x v="5"/>
    <x v="2"/>
    <x v="2"/>
    <x v="7"/>
    <s v="Plantronics HL10 Handset Lifter"/>
    <n v="371.16800000000001"/>
    <n v="4"/>
    <n v="0.2"/>
    <n v="41.756399999999957"/>
  </r>
  <r>
    <n v="42"/>
    <s v="CA-2019-120999"/>
    <x v="18"/>
    <x v="1"/>
    <x v="18"/>
    <s v="Naperville"/>
    <x v="10"/>
    <x v="2"/>
    <x v="2"/>
    <x v="7"/>
    <s v="Panasonic Kx-TS550"/>
    <n v="147.16800000000001"/>
    <n v="4"/>
    <n v="0.2"/>
    <n v="16.556399999999996"/>
  </r>
  <r>
    <n v="43"/>
    <s v="CA-2018-101343"/>
    <x v="19"/>
    <x v="1"/>
    <x v="19"/>
    <s v="Los Angeles"/>
    <x v="1"/>
    <x v="1"/>
    <x v="1"/>
    <x v="4"/>
    <s v="Eldon Base for stackable storage shelf, platinum"/>
    <n v="77.88"/>
    <n v="2"/>
    <n v="0"/>
    <n v="3.8939999999999912"/>
  </r>
  <r>
    <n v="44"/>
    <s v="CA-2019-139619"/>
    <x v="20"/>
    <x v="1"/>
    <x v="20"/>
    <s v="Melbourne"/>
    <x v="2"/>
    <x v="0"/>
    <x v="1"/>
    <x v="4"/>
    <s v="Advantus 10-Drawer Portable Organizer, Chrome Metal Frame, Smoke Drawers"/>
    <n v="95.616"/>
    <n v="2"/>
    <n v="0.2"/>
    <n v="9.5616000000000092"/>
  </r>
  <r>
    <n v="45"/>
    <s v="CA-2018-118255"/>
    <x v="21"/>
    <x v="2"/>
    <x v="21"/>
    <s v="Eagan"/>
    <x v="11"/>
    <x v="2"/>
    <x v="2"/>
    <x v="11"/>
    <s v="Verbatim 25 GB 6x Blu-ray Single Layer Recordable Disc, 25/Pack"/>
    <n v="45.98"/>
    <n v="2"/>
    <n v="0"/>
    <n v="19.7714"/>
  </r>
  <r>
    <n v="46"/>
    <s v="CA-2018-118255"/>
    <x v="21"/>
    <x v="2"/>
    <x v="21"/>
    <s v="Eagan"/>
    <x v="11"/>
    <x v="2"/>
    <x v="1"/>
    <x v="8"/>
    <s v="Wilson Jones Leather-Like Binders with DublLock Round Rings"/>
    <n v="17.46"/>
    <n v="2"/>
    <n v="0"/>
    <n v="8.2061999999999991"/>
  </r>
  <r>
    <n v="47"/>
    <s v="CA-2016-146703"/>
    <x v="22"/>
    <x v="0"/>
    <x v="22"/>
    <s v="Westland"/>
    <x v="12"/>
    <x v="2"/>
    <x v="1"/>
    <x v="4"/>
    <s v="Gould Plastics 9-Pocket Panel Bin, 18-3/8w x 5-1/4d x 20-1/2h, Black"/>
    <n v="211.96"/>
    <n v="4"/>
    <n v="0"/>
    <n v="8.4783999999999935"/>
  </r>
  <r>
    <n v="48"/>
    <s v="CA-2018-169194"/>
    <x v="23"/>
    <x v="1"/>
    <x v="23"/>
    <s v="Dover"/>
    <x v="13"/>
    <x v="3"/>
    <x v="2"/>
    <x v="11"/>
    <s v="Imation 8gb Micro Traveldrive Usb 2.0 Flash Drive"/>
    <n v="45"/>
    <n v="3"/>
    <n v="0"/>
    <n v="4.9500000000000011"/>
  </r>
  <r>
    <n v="49"/>
    <s v="CA-2018-169194"/>
    <x v="23"/>
    <x v="1"/>
    <x v="23"/>
    <s v="Dover"/>
    <x v="13"/>
    <x v="3"/>
    <x v="2"/>
    <x v="7"/>
    <s v="LF Elite 3D Dazzle Designer Hard Case Cover, Lf Stylus Pen and Wiper For Apple Iphone 5c Mini Lite"/>
    <n v="21.8"/>
    <n v="2"/>
    <n v="0"/>
    <n v="6.104000000000001"/>
  </r>
  <r>
    <n v="50"/>
    <s v="CA-2017-115742"/>
    <x v="24"/>
    <x v="1"/>
    <x v="24"/>
    <s v="New Albany"/>
    <x v="14"/>
    <x v="2"/>
    <x v="1"/>
    <x v="8"/>
    <s v="C-Line Peel &amp; Stick Add-On Filing Pockets, 8-3/4 x 5-1/8, 10/Pack"/>
    <n v="38.22"/>
    <n v="6"/>
    <n v="0"/>
    <n v="17.9634"/>
  </r>
  <r>
    <n v="51"/>
    <s v="CA-2017-115742"/>
    <x v="24"/>
    <x v="1"/>
    <x v="24"/>
    <s v="New Albany"/>
    <x v="14"/>
    <x v="2"/>
    <x v="1"/>
    <x v="2"/>
    <s v="Avery 485"/>
    <n v="75.179999999999993"/>
    <n v="6"/>
    <n v="0"/>
    <n v="35.334599999999995"/>
  </r>
  <r>
    <n v="52"/>
    <s v="CA-2017-115742"/>
    <x v="24"/>
    <x v="1"/>
    <x v="24"/>
    <s v="New Albany"/>
    <x v="14"/>
    <x v="2"/>
    <x v="0"/>
    <x v="5"/>
    <s v="Longer-Life Soft White Bulbs"/>
    <n v="6.16"/>
    <n v="2"/>
    <n v="0"/>
    <n v="2.9567999999999999"/>
  </r>
  <r>
    <n v="53"/>
    <s v="CA-2017-115742"/>
    <x v="24"/>
    <x v="1"/>
    <x v="24"/>
    <s v="New Albany"/>
    <x v="14"/>
    <x v="2"/>
    <x v="0"/>
    <x v="1"/>
    <s v="Global Leather Task Chair, Black"/>
    <n v="89.99"/>
    <n v="1"/>
    <n v="0"/>
    <n v="17.098099999999988"/>
  </r>
  <r>
    <n v="54"/>
    <s v="CA-2018-105816"/>
    <x v="25"/>
    <x v="1"/>
    <x v="25"/>
    <s v="New York City"/>
    <x v="15"/>
    <x v="3"/>
    <x v="1"/>
    <x v="13"/>
    <s v="Advantus Push Pins"/>
    <n v="15.260000000000002"/>
    <n v="7"/>
    <n v="0"/>
    <n v="6.2566000000000006"/>
  </r>
  <r>
    <n v="55"/>
    <s v="CA-2018-105816"/>
    <x v="25"/>
    <x v="1"/>
    <x v="25"/>
    <s v="New York City"/>
    <x v="15"/>
    <x v="3"/>
    <x v="2"/>
    <x v="7"/>
    <s v="AT&amp;T CL83451 4-Handset Telephone"/>
    <n v="1029.95"/>
    <n v="5"/>
    <n v="0"/>
    <n v="298.68549999999999"/>
  </r>
  <r>
    <n v="56"/>
    <s v="CA-2018-111682"/>
    <x v="26"/>
    <x v="2"/>
    <x v="26"/>
    <s v="Troy"/>
    <x v="15"/>
    <x v="3"/>
    <x v="1"/>
    <x v="4"/>
    <s v="Home/Office Personal File Carts"/>
    <n v="208.56"/>
    <n v="6"/>
    <n v="0"/>
    <n v="52.139999999999986"/>
  </r>
  <r>
    <n v="57"/>
    <s v="CA-2018-111682"/>
    <x v="26"/>
    <x v="2"/>
    <x v="26"/>
    <s v="Troy"/>
    <x v="15"/>
    <x v="3"/>
    <x v="1"/>
    <x v="10"/>
    <s v="Xerox 232"/>
    <n v="32.400000000000006"/>
    <n v="5"/>
    <n v="0"/>
    <n v="15.552000000000001"/>
  </r>
  <r>
    <n v="58"/>
    <s v="CA-2018-111682"/>
    <x v="26"/>
    <x v="2"/>
    <x v="26"/>
    <s v="Troy"/>
    <x v="15"/>
    <x v="3"/>
    <x v="0"/>
    <x v="1"/>
    <s v="Novimex Turbo Task Chair"/>
    <n v="319.41000000000003"/>
    <n v="5"/>
    <n v="0.1"/>
    <n v="7.0980000000000061"/>
  </r>
  <r>
    <n v="59"/>
    <s v="CA-2018-111682"/>
    <x v="26"/>
    <x v="2"/>
    <x v="26"/>
    <s v="Troy"/>
    <x v="15"/>
    <x v="3"/>
    <x v="1"/>
    <x v="10"/>
    <s v="Array Parchment Paper, Assorted Colors"/>
    <n v="14.56"/>
    <n v="2"/>
    <n v="0"/>
    <n v="6.9888000000000003"/>
  </r>
  <r>
    <n v="60"/>
    <s v="CA-2018-111682"/>
    <x v="26"/>
    <x v="2"/>
    <x v="26"/>
    <s v="Troy"/>
    <x v="15"/>
    <x v="3"/>
    <x v="2"/>
    <x v="11"/>
    <s v="Imation 8gb Micro Traveldrive Usb 2.0 Flash Drive"/>
    <n v="30"/>
    <n v="2"/>
    <n v="0"/>
    <n v="3.3000000000000007"/>
  </r>
  <r>
    <n v="61"/>
    <s v="CA-2018-111682"/>
    <x v="26"/>
    <x v="2"/>
    <x v="26"/>
    <s v="Troy"/>
    <x v="15"/>
    <x v="3"/>
    <x v="1"/>
    <x v="8"/>
    <s v="Plastic Binding Combs"/>
    <n v="48.480000000000004"/>
    <n v="4"/>
    <n v="0.2"/>
    <n v="16.361999999999998"/>
  </r>
  <r>
    <n v="62"/>
    <s v="CA-2018-111682"/>
    <x v="26"/>
    <x v="2"/>
    <x v="26"/>
    <s v="Troy"/>
    <x v="15"/>
    <x v="3"/>
    <x v="1"/>
    <x v="6"/>
    <s v="Prang Dustless Chalk Sticks"/>
    <n v="1.68"/>
    <n v="1"/>
    <n v="0"/>
    <n v="0.84"/>
  </r>
  <r>
    <n v="63"/>
    <s v="CA-2017-135545"/>
    <x v="27"/>
    <x v="1"/>
    <x v="27"/>
    <s v="Los Angeles"/>
    <x v="1"/>
    <x v="1"/>
    <x v="2"/>
    <x v="11"/>
    <s v="Verbatim 25 GB 6x Blu-ray Single Layer Recordable Disc, 3/Pack"/>
    <n v="13.98"/>
    <n v="2"/>
    <n v="0"/>
    <n v="6.1512000000000011"/>
  </r>
  <r>
    <n v="64"/>
    <s v="CA-2017-135545"/>
    <x v="27"/>
    <x v="1"/>
    <x v="27"/>
    <s v="Los Angeles"/>
    <x v="1"/>
    <x v="1"/>
    <x v="1"/>
    <x v="8"/>
    <s v="Acco PRESSTEX Data Binder with Storage Hooks, Dark Blue, 14 7/8&quot; X 11&quot;"/>
    <n v="25.824000000000002"/>
    <n v="6"/>
    <n v="0.2"/>
    <n v="9.3612000000000002"/>
  </r>
  <r>
    <n v="65"/>
    <s v="CA-2017-135545"/>
    <x v="27"/>
    <x v="1"/>
    <x v="27"/>
    <s v="Los Angeles"/>
    <x v="1"/>
    <x v="1"/>
    <x v="1"/>
    <x v="10"/>
    <s v="Xerox 1943"/>
    <n v="146.72999999999999"/>
    <n v="3"/>
    <n v="0"/>
    <n v="68.963099999999997"/>
  </r>
  <r>
    <n v="66"/>
    <s v="CA-2017-135545"/>
    <x v="27"/>
    <x v="1"/>
    <x v="27"/>
    <s v="Los Angeles"/>
    <x v="1"/>
    <x v="1"/>
    <x v="0"/>
    <x v="5"/>
    <s v="Luxo Economy Swing Arm Lamp"/>
    <n v="79.760000000000005"/>
    <n v="4"/>
    <n v="0"/>
    <n v="22.332800000000006"/>
  </r>
  <r>
    <n v="67"/>
    <s v="US-2017-164175"/>
    <x v="28"/>
    <x v="1"/>
    <x v="28"/>
    <s v="Chicago"/>
    <x v="10"/>
    <x v="2"/>
    <x v="0"/>
    <x v="1"/>
    <s v="Global Value Mid-Back Manager's Chair, Gray"/>
    <n v="213.11499999999998"/>
    <n v="5"/>
    <n v="0.3"/>
    <n v="-15.222500000000011"/>
  </r>
  <r>
    <n v="68"/>
    <s v="CA-2016-106376"/>
    <x v="29"/>
    <x v="1"/>
    <x v="29"/>
    <s v="Gilbert"/>
    <x v="16"/>
    <x v="1"/>
    <x v="1"/>
    <x v="6"/>
    <s v="Hunt BOSTON Model 1606 High-Volume Electric Pencil Sharpener, Beige"/>
    <n v="1113.0240000000001"/>
    <n v="8"/>
    <n v="0.2"/>
    <n v="111.30239999999998"/>
  </r>
  <r>
    <n v="69"/>
    <s v="CA-2016-106376"/>
    <x v="29"/>
    <x v="1"/>
    <x v="29"/>
    <s v="Gilbert"/>
    <x v="16"/>
    <x v="1"/>
    <x v="2"/>
    <x v="7"/>
    <s v="netTALK DUO VoIP Telephone Service"/>
    <n v="167.96800000000002"/>
    <n v="4"/>
    <n v="0.2"/>
    <n v="62.988"/>
  </r>
  <r>
    <n v="70"/>
    <s v="CA-2018-119823"/>
    <x v="30"/>
    <x v="2"/>
    <x v="30"/>
    <s v="Springfield"/>
    <x v="17"/>
    <x v="0"/>
    <x v="1"/>
    <x v="10"/>
    <s v="Snap-A-Way Black Print Carbonless Ruled Speed Letter, Triplicate"/>
    <n v="75.88"/>
    <n v="2"/>
    <n v="0"/>
    <n v="35.663599999999995"/>
  </r>
  <r>
    <n v="71"/>
    <s v="CA-2018-106075"/>
    <x v="31"/>
    <x v="1"/>
    <x v="31"/>
    <s v="New York City"/>
    <x v="15"/>
    <x v="3"/>
    <x v="1"/>
    <x v="8"/>
    <s v="Avery Binding System Hidden Tab Executive Style Index Sets"/>
    <n v="4.6159999999999997"/>
    <n v="1"/>
    <n v="0.2"/>
    <n v="1.7309999999999999"/>
  </r>
  <r>
    <n v="72"/>
    <s v="CA-2019-114440"/>
    <x v="32"/>
    <x v="0"/>
    <x v="14"/>
    <s v="Jackson"/>
    <x v="12"/>
    <x v="2"/>
    <x v="1"/>
    <x v="10"/>
    <s v="Telephone Message Books with Fax/Mobile Section, 5 1/2&quot; x 3 3/16&quot;"/>
    <n v="19.049999999999997"/>
    <n v="3"/>
    <n v="0"/>
    <n v="8.7629999999999999"/>
  </r>
  <r>
    <n v="73"/>
    <s v="US-2017-134026"/>
    <x v="33"/>
    <x v="1"/>
    <x v="32"/>
    <s v="Memphis"/>
    <x v="18"/>
    <x v="0"/>
    <x v="0"/>
    <x v="1"/>
    <s v="High-Back Leather Manager's Chair"/>
    <n v="831.93600000000015"/>
    <n v="8"/>
    <n v="0.2"/>
    <n v="-114.39120000000003"/>
  </r>
  <r>
    <n v="74"/>
    <s v="US-2017-134026"/>
    <x v="33"/>
    <x v="1"/>
    <x v="32"/>
    <s v="Memphis"/>
    <x v="18"/>
    <x v="0"/>
    <x v="0"/>
    <x v="5"/>
    <s v="Tenex Traditional Chairmats for Medium Pile Carpet, Standard Lip, 36&quot; x 48&quot;"/>
    <n v="97.04"/>
    <n v="2"/>
    <n v="0.2"/>
    <n v="1.2129999999999974"/>
  </r>
  <r>
    <n v="75"/>
    <s v="US-2017-134026"/>
    <x v="33"/>
    <x v="1"/>
    <x v="32"/>
    <s v="Memphis"/>
    <x v="18"/>
    <x v="0"/>
    <x v="1"/>
    <x v="4"/>
    <s v="Safco Industrial Wire Shelving System"/>
    <n v="72.784000000000006"/>
    <n v="1"/>
    <n v="0.2"/>
    <n v="-18.196000000000002"/>
  </r>
  <r>
    <n v="76"/>
    <s v="US-2019-118038"/>
    <x v="34"/>
    <x v="2"/>
    <x v="33"/>
    <s v="Houston"/>
    <x v="5"/>
    <x v="2"/>
    <x v="1"/>
    <x v="8"/>
    <s v="Economy Binders"/>
    <n v="1.2479999999999998"/>
    <n v="3"/>
    <n v="0.8"/>
    <n v="-1.9344000000000006"/>
  </r>
  <r>
    <n v="77"/>
    <s v="US-2019-118038"/>
    <x v="34"/>
    <x v="2"/>
    <x v="33"/>
    <s v="Houston"/>
    <x v="5"/>
    <x v="2"/>
    <x v="0"/>
    <x v="5"/>
    <s v="6&quot; Cubicle Wall Clock, Black"/>
    <n v="9.7080000000000002"/>
    <n v="3"/>
    <n v="0.6"/>
    <n v="-5.8248000000000015"/>
  </r>
  <r>
    <n v="78"/>
    <s v="US-2019-118038"/>
    <x v="34"/>
    <x v="2"/>
    <x v="33"/>
    <s v="Houston"/>
    <x v="5"/>
    <x v="2"/>
    <x v="1"/>
    <x v="4"/>
    <s v="SimpliFile Personal File, Black Granite, 15w x 6-15/16d x 11-1/4h"/>
    <n v="27.240000000000002"/>
    <n v="3"/>
    <n v="0.2"/>
    <n v="2.724000000000002"/>
  </r>
  <r>
    <n v="79"/>
    <s v="US-2016-147606"/>
    <x v="35"/>
    <x v="0"/>
    <x v="32"/>
    <s v="Houston"/>
    <x v="5"/>
    <x v="2"/>
    <x v="0"/>
    <x v="5"/>
    <s v="Eldon Expressions Desk Accessory, Wood Pencil Holder, Oak"/>
    <n v="19.3"/>
    <n v="5"/>
    <n v="0.6"/>
    <n v="-14.475000000000001"/>
  </r>
  <r>
    <n v="80"/>
    <s v="CA-2018-127208"/>
    <x v="1"/>
    <x v="2"/>
    <x v="34"/>
    <s v="Decatur"/>
    <x v="19"/>
    <x v="0"/>
    <x v="1"/>
    <x v="9"/>
    <s v="1.7 Cubic Foot Compact &quot;Cube&quot; Office Refrigerators"/>
    <n v="208.16"/>
    <n v="1"/>
    <n v="0"/>
    <n v="56.20320000000001"/>
  </r>
  <r>
    <n v="81"/>
    <s v="CA-2018-127208"/>
    <x v="1"/>
    <x v="2"/>
    <x v="34"/>
    <s v="Decatur"/>
    <x v="19"/>
    <x v="0"/>
    <x v="1"/>
    <x v="8"/>
    <s v="Avery Heavy-Duty EZD  Binder With Locking Rings"/>
    <n v="16.740000000000002"/>
    <n v="3"/>
    <n v="0"/>
    <n v="8.0351999999999997"/>
  </r>
  <r>
    <n v="82"/>
    <s v="CA-2016-139451"/>
    <x v="36"/>
    <x v="1"/>
    <x v="35"/>
    <s v="San Francisco"/>
    <x v="1"/>
    <x v="1"/>
    <x v="1"/>
    <x v="6"/>
    <s v="Premium Writing Pencils, Soft, #2 by Central Association for the Blind"/>
    <n v="14.9"/>
    <n v="5"/>
    <n v="0"/>
    <n v="4.1720000000000006"/>
  </r>
  <r>
    <n v="83"/>
    <s v="CA-2016-139451"/>
    <x v="36"/>
    <x v="1"/>
    <x v="35"/>
    <s v="San Francisco"/>
    <x v="1"/>
    <x v="1"/>
    <x v="1"/>
    <x v="4"/>
    <s v="Sortfiler Multipurpose Personal File Organizer, Black"/>
    <n v="21.39"/>
    <n v="1"/>
    <n v="0"/>
    <n v="6.2030999999999992"/>
  </r>
  <r>
    <n v="84"/>
    <s v="CA-2017-149734"/>
    <x v="37"/>
    <x v="1"/>
    <x v="36"/>
    <s v="Durham"/>
    <x v="3"/>
    <x v="0"/>
    <x v="1"/>
    <x v="12"/>
    <s v="Jet-Pak Recycled Peel 'N' Seal Padded Mailers"/>
    <n v="200.98400000000004"/>
    <n v="7"/>
    <n v="0.2"/>
    <n v="62.807499999999976"/>
  </r>
  <r>
    <n v="85"/>
    <s v="US-2019-119662"/>
    <x v="38"/>
    <x v="2"/>
    <x v="37"/>
    <s v="Chicago"/>
    <x v="10"/>
    <x v="2"/>
    <x v="1"/>
    <x v="4"/>
    <s v="Safco Industrial Wire Shelving"/>
    <n v="230.376"/>
    <n v="3"/>
    <n v="0.2"/>
    <n v="-48.954900000000002"/>
  </r>
  <r>
    <n v="86"/>
    <s v="CA-2019-140088"/>
    <x v="39"/>
    <x v="0"/>
    <x v="22"/>
    <s v="Columbia"/>
    <x v="20"/>
    <x v="0"/>
    <x v="0"/>
    <x v="1"/>
    <s v="Novimex Swivel Fabric Task Chair"/>
    <n v="301.95999999999998"/>
    <n v="2"/>
    <n v="0"/>
    <n v="33.215599999999995"/>
  </r>
  <r>
    <n v="87"/>
    <s v="CA-2019-155558"/>
    <x v="40"/>
    <x v="1"/>
    <x v="38"/>
    <s v="Rochester"/>
    <x v="11"/>
    <x v="2"/>
    <x v="2"/>
    <x v="11"/>
    <s v="Logitech LS21 Speaker System - PC Multimedia - 2.1-CH - Wired"/>
    <n v="19.989999999999998"/>
    <n v="1"/>
    <n v="0"/>
    <n v="6.796599999999998"/>
  </r>
  <r>
    <n v="88"/>
    <s v="CA-2019-155558"/>
    <x v="40"/>
    <x v="1"/>
    <x v="38"/>
    <s v="Rochester"/>
    <x v="11"/>
    <x v="2"/>
    <x v="1"/>
    <x v="2"/>
    <s v="Avery 511"/>
    <n v="6.16"/>
    <n v="2"/>
    <n v="0"/>
    <n v="2.9567999999999999"/>
  </r>
  <r>
    <n v="89"/>
    <s v="CA-2018-159695"/>
    <x v="41"/>
    <x v="0"/>
    <x v="39"/>
    <s v="Houston"/>
    <x v="5"/>
    <x v="2"/>
    <x v="1"/>
    <x v="4"/>
    <s v="Eldon Portable Mobile Manager"/>
    <n v="158.36800000000002"/>
    <n v="7"/>
    <n v="0.2"/>
    <n v="13.857199999999999"/>
  </r>
  <r>
    <n v="90"/>
    <s v="CA-2018-109806"/>
    <x v="42"/>
    <x v="1"/>
    <x v="40"/>
    <s v="Los Angeles"/>
    <x v="1"/>
    <x v="1"/>
    <x v="1"/>
    <x v="6"/>
    <s v="Turquoise Lead Holder with Pocket Clip"/>
    <n v="20.100000000000001"/>
    <n v="3"/>
    <n v="0"/>
    <n v="6.6329999999999982"/>
  </r>
  <r>
    <n v="91"/>
    <s v="CA-2018-109806"/>
    <x v="42"/>
    <x v="1"/>
    <x v="40"/>
    <s v="Los Angeles"/>
    <x v="1"/>
    <x v="1"/>
    <x v="2"/>
    <x v="7"/>
    <s v="Panasonic Kx-TS550"/>
    <n v="73.584000000000003"/>
    <n v="2"/>
    <n v="0.2"/>
    <n v="8.2781999999999982"/>
  </r>
  <r>
    <n v="92"/>
    <s v="CA-2018-109806"/>
    <x v="42"/>
    <x v="1"/>
    <x v="40"/>
    <s v="Los Angeles"/>
    <x v="1"/>
    <x v="1"/>
    <x v="1"/>
    <x v="10"/>
    <s v="Xerox 1995"/>
    <n v="6.48"/>
    <n v="1"/>
    <n v="0"/>
    <n v="3.1104000000000003"/>
  </r>
  <r>
    <n v="93"/>
    <s v="CA-2017-149587"/>
    <x v="43"/>
    <x v="0"/>
    <x v="41"/>
    <s v="Minneapolis"/>
    <x v="11"/>
    <x v="2"/>
    <x v="1"/>
    <x v="10"/>
    <s v="Xerox 1999"/>
    <n v="12.96"/>
    <n v="2"/>
    <n v="0"/>
    <n v="6.2208000000000006"/>
  </r>
  <r>
    <n v="94"/>
    <s v="CA-2017-149587"/>
    <x v="43"/>
    <x v="0"/>
    <x v="41"/>
    <s v="Minneapolis"/>
    <x v="11"/>
    <x v="2"/>
    <x v="0"/>
    <x v="5"/>
    <s v="Seth Thomas 13 1/2&quot; Wall Clock"/>
    <n v="53.34"/>
    <n v="3"/>
    <n v="0"/>
    <n v="16.535399999999996"/>
  </r>
  <r>
    <n v="95"/>
    <s v="CA-2017-149587"/>
    <x v="43"/>
    <x v="0"/>
    <x v="41"/>
    <s v="Minneapolis"/>
    <x v="11"/>
    <x v="2"/>
    <x v="1"/>
    <x v="8"/>
    <s v="Ibico Standard Transparent Covers"/>
    <n v="32.96"/>
    <n v="2"/>
    <n v="0"/>
    <n v="16.150400000000001"/>
  </r>
  <r>
    <n v="96"/>
    <s v="US-2019-109484"/>
    <x v="44"/>
    <x v="1"/>
    <x v="42"/>
    <s v="Portland"/>
    <x v="21"/>
    <x v="1"/>
    <x v="1"/>
    <x v="8"/>
    <s v="Flexible Leather- Look Classic Collection Ring Binder"/>
    <n v="5.6820000000000013"/>
    <n v="1"/>
    <n v="0.7"/>
    <n v="-3.7880000000000003"/>
  </r>
  <r>
    <n v="97"/>
    <s v="CA-2019-161018"/>
    <x v="45"/>
    <x v="0"/>
    <x v="43"/>
    <s v="New York City"/>
    <x v="15"/>
    <x v="3"/>
    <x v="0"/>
    <x v="5"/>
    <s v="9-3/4 Diameter Round Wall Clock"/>
    <n v="96.53"/>
    <n v="7"/>
    <n v="0"/>
    <n v="40.5426"/>
  </r>
  <r>
    <n v="98"/>
    <s v="CA-2019-157833"/>
    <x v="46"/>
    <x v="2"/>
    <x v="44"/>
    <s v="San Francisco"/>
    <x v="1"/>
    <x v="1"/>
    <x v="1"/>
    <x v="8"/>
    <s v="Trimflex Flexible Post Binders"/>
    <n v="51.311999999999998"/>
    <n v="3"/>
    <n v="0.2"/>
    <n v="17.959199999999999"/>
  </r>
  <r>
    <n v="99"/>
    <s v="CA-2018-149223"/>
    <x v="47"/>
    <x v="1"/>
    <x v="45"/>
    <s v="Saint Paul"/>
    <x v="11"/>
    <x v="2"/>
    <x v="1"/>
    <x v="9"/>
    <s v="Fellowes Basic Home/Office Series Surge Protectors"/>
    <n v="77.88"/>
    <n v="6"/>
    <n v="0"/>
    <n v="22.585199999999993"/>
  </r>
  <r>
    <n v="100"/>
    <s v="CA-2018-158568"/>
    <x v="48"/>
    <x v="1"/>
    <x v="46"/>
    <s v="Chicago"/>
    <x v="10"/>
    <x v="2"/>
    <x v="1"/>
    <x v="10"/>
    <s v="Avery Personal Creations Heavyweight Cards"/>
    <n v="64.623999999999995"/>
    <n v="7"/>
    <n v="0.2"/>
    <n v="22.618399999999994"/>
  </r>
  <r>
    <n v="101"/>
    <s v="CA-2018-158568"/>
    <x v="48"/>
    <x v="1"/>
    <x v="46"/>
    <s v="Chicago"/>
    <x v="10"/>
    <x v="2"/>
    <x v="2"/>
    <x v="11"/>
    <s v="SanDisk Ultra 64 GB MicroSDHC Class 10 Memory Card"/>
    <n v="95.976000000000013"/>
    <n v="3"/>
    <n v="0.2"/>
    <n v="-10.797300000000011"/>
  </r>
  <r>
    <n v="102"/>
    <s v="CA-2018-158568"/>
    <x v="48"/>
    <x v="1"/>
    <x v="46"/>
    <s v="Chicago"/>
    <x v="10"/>
    <x v="2"/>
    <x v="1"/>
    <x v="8"/>
    <s v="Avery Hidden Tab Dividers for Binding Systems"/>
    <n v="1.7879999999999996"/>
    <n v="3"/>
    <n v="0.8"/>
    <n v="-3.0396000000000001"/>
  </r>
  <r>
    <n v="103"/>
    <s v="CA-2018-129903"/>
    <x v="49"/>
    <x v="0"/>
    <x v="47"/>
    <s v="Rochester"/>
    <x v="11"/>
    <x v="2"/>
    <x v="1"/>
    <x v="10"/>
    <s v="Universal Premium White Copier/Laser Paper (20Lb. and 87 Bright)"/>
    <n v="23.92"/>
    <n v="4"/>
    <n v="0"/>
    <n v="11.720800000000001"/>
  </r>
  <r>
    <n v="104"/>
    <s v="US-2017-156867"/>
    <x v="50"/>
    <x v="1"/>
    <x v="48"/>
    <s v="Aurora"/>
    <x v="22"/>
    <x v="1"/>
    <x v="2"/>
    <x v="11"/>
    <s v="Logitech K350 2.4Ghz Wireless Keyboard"/>
    <n v="238.89600000000002"/>
    <n v="6"/>
    <n v="0.2"/>
    <n v="-26.875800000000012"/>
  </r>
  <r>
    <n v="105"/>
    <s v="US-2017-156867"/>
    <x v="50"/>
    <x v="1"/>
    <x v="48"/>
    <s v="Aurora"/>
    <x v="22"/>
    <x v="1"/>
    <x v="0"/>
    <x v="5"/>
    <s v="Deflect-o DuraMat Lighweight, Studded, Beveled Mat for Low Pile Carpeting"/>
    <n v="102.35999999999999"/>
    <n v="3"/>
    <n v="0.2"/>
    <n v="-3.8385000000000105"/>
  </r>
  <r>
    <n v="106"/>
    <s v="US-2017-156867"/>
    <x v="50"/>
    <x v="1"/>
    <x v="48"/>
    <s v="Aurora"/>
    <x v="22"/>
    <x v="1"/>
    <x v="1"/>
    <x v="8"/>
    <s v="Avery Trapezoid Ring Binder, 3&quot; Capacity, Black, 1040 sheets"/>
    <n v="36.882000000000005"/>
    <n v="3"/>
    <n v="0.7"/>
    <n v="-25.817399999999999"/>
  </r>
  <r>
    <n v="107"/>
    <s v="CA-2019-119004"/>
    <x v="51"/>
    <x v="1"/>
    <x v="49"/>
    <s v="Charlotte"/>
    <x v="3"/>
    <x v="0"/>
    <x v="2"/>
    <x v="11"/>
    <s v="Memorex Mini Travel Drive 8 GB USB 2.0 Flash Drive"/>
    <n v="74.112000000000009"/>
    <n v="8"/>
    <n v="0.2"/>
    <n v="17.601600000000001"/>
  </r>
  <r>
    <n v="108"/>
    <s v="CA-2019-119004"/>
    <x v="51"/>
    <x v="1"/>
    <x v="49"/>
    <s v="Charlotte"/>
    <x v="3"/>
    <x v="0"/>
    <x v="2"/>
    <x v="7"/>
    <s v="Speck Products Candyshell Flip Case"/>
    <n v="27.992000000000004"/>
    <n v="1"/>
    <n v="0.2"/>
    <n v="2.0993999999999993"/>
  </r>
  <r>
    <n v="109"/>
    <s v="CA-2019-119004"/>
    <x v="51"/>
    <x v="1"/>
    <x v="49"/>
    <s v="Charlotte"/>
    <x v="3"/>
    <x v="0"/>
    <x v="1"/>
    <x v="6"/>
    <s v="Newell Chalk Holder"/>
    <n v="3.3040000000000003"/>
    <n v="1"/>
    <n v="0.2"/>
    <n v="1.0737999999999999"/>
  </r>
  <r>
    <n v="110"/>
    <s v="CA-2017-129476"/>
    <x v="52"/>
    <x v="1"/>
    <x v="50"/>
    <s v="Orland Park"/>
    <x v="10"/>
    <x v="2"/>
    <x v="2"/>
    <x v="11"/>
    <s v="Logitech Gaming G510s - Keyboard"/>
    <n v="339.96000000000004"/>
    <n v="5"/>
    <n v="0.2"/>
    <n v="67.991999999999962"/>
  </r>
  <r>
    <n v="111"/>
    <s v="CA-2019-146780"/>
    <x v="53"/>
    <x v="1"/>
    <x v="51"/>
    <s v="New York City"/>
    <x v="15"/>
    <x v="3"/>
    <x v="0"/>
    <x v="5"/>
    <s v="Magnifier Swing Arm Lamp"/>
    <n v="41.96"/>
    <n v="2"/>
    <n v="0"/>
    <n v="10.909600000000001"/>
  </r>
  <r>
    <n v="112"/>
    <s v="CA-2018-128867"/>
    <x v="54"/>
    <x v="1"/>
    <x v="52"/>
    <s v="Urbandale"/>
    <x v="23"/>
    <x v="2"/>
    <x v="1"/>
    <x v="6"/>
    <s v="Hunt PowerHouse Electric Pencil Sharpener, Blue"/>
    <n v="75.959999999999994"/>
    <n v="2"/>
    <n v="0"/>
    <n v="22.78799999999999"/>
  </r>
  <r>
    <n v="113"/>
    <s v="CA-2018-128867"/>
    <x v="54"/>
    <x v="1"/>
    <x v="52"/>
    <s v="Urbandale"/>
    <x v="23"/>
    <x v="2"/>
    <x v="1"/>
    <x v="8"/>
    <s v="Avery Durable Plastic 1&quot; Binders"/>
    <n v="27.240000000000002"/>
    <n v="6"/>
    <n v="0"/>
    <n v="13.3476"/>
  </r>
  <r>
    <n v="114"/>
    <s v="CA-2016-115259"/>
    <x v="55"/>
    <x v="0"/>
    <x v="53"/>
    <s v="Columbus"/>
    <x v="24"/>
    <x v="3"/>
    <x v="1"/>
    <x v="13"/>
    <s v="OIC Colored Binder Clips, Assorted Sizes"/>
    <n v="40.096000000000004"/>
    <n v="14"/>
    <n v="0.2"/>
    <n v="14.534799999999997"/>
  </r>
  <r>
    <n v="115"/>
    <s v="CA-2016-115259"/>
    <x v="55"/>
    <x v="0"/>
    <x v="53"/>
    <s v="Columbus"/>
    <x v="24"/>
    <x v="3"/>
    <x v="1"/>
    <x v="12"/>
    <s v="Redi-Strip #10 Envelopes, 4 1/8 x 9 1/2"/>
    <n v="4.7200000000000006"/>
    <n v="2"/>
    <n v="0.2"/>
    <n v="1.6519999999999997"/>
  </r>
  <r>
    <n v="116"/>
    <s v="CA-2016-115259"/>
    <x v="55"/>
    <x v="0"/>
    <x v="53"/>
    <s v="Columbus"/>
    <x v="24"/>
    <x v="3"/>
    <x v="1"/>
    <x v="10"/>
    <s v="Xerox 1921"/>
    <n v="23.976000000000003"/>
    <n v="3"/>
    <n v="0.2"/>
    <n v="7.4924999999999988"/>
  </r>
  <r>
    <n v="117"/>
    <s v="CA-2016-115259"/>
    <x v="55"/>
    <x v="0"/>
    <x v="53"/>
    <s v="Columbus"/>
    <x v="24"/>
    <x v="3"/>
    <x v="1"/>
    <x v="12"/>
    <s v="Tyvek  Top-Opening Peel &amp; Seel Envelopes, Plain White"/>
    <n v="130.464"/>
    <n v="6"/>
    <n v="0.2"/>
    <n v="44.031599999999997"/>
  </r>
  <r>
    <n v="118"/>
    <s v="CA-2017-110457"/>
    <x v="56"/>
    <x v="1"/>
    <x v="54"/>
    <s v="Seattle"/>
    <x v="4"/>
    <x v="1"/>
    <x v="0"/>
    <x v="3"/>
    <s v="Hon Racetrack Conference Tables"/>
    <n v="787.53"/>
    <n v="3"/>
    <n v="0"/>
    <n v="165.38129999999995"/>
  </r>
  <r>
    <n v="119"/>
    <s v="US-2017-136476"/>
    <x v="57"/>
    <x v="1"/>
    <x v="55"/>
    <s v="Bristol"/>
    <x v="18"/>
    <x v="0"/>
    <x v="1"/>
    <x v="8"/>
    <s v="GBC DocuBind 300 Electric Binding Machine"/>
    <n v="157.79400000000004"/>
    <n v="1"/>
    <n v="0.7"/>
    <n v="-115.71559999999999"/>
  </r>
  <r>
    <n v="120"/>
    <s v="CA-2018-103730"/>
    <x v="1"/>
    <x v="2"/>
    <x v="56"/>
    <s v="Wilmington"/>
    <x v="13"/>
    <x v="3"/>
    <x v="0"/>
    <x v="5"/>
    <s v="Artistic Insta-Plaque"/>
    <n v="47.04"/>
    <n v="3"/>
    <n v="0"/>
    <n v="18.345599999999997"/>
  </r>
  <r>
    <n v="121"/>
    <s v="CA-2018-103730"/>
    <x v="1"/>
    <x v="2"/>
    <x v="56"/>
    <s v="Wilmington"/>
    <x v="13"/>
    <x v="3"/>
    <x v="1"/>
    <x v="8"/>
    <s v="DXL Angle-View Binders with Locking Rings by Samsill"/>
    <n v="30.84"/>
    <n v="4"/>
    <n v="0"/>
    <n v="13.878"/>
  </r>
  <r>
    <n v="122"/>
    <s v="CA-2018-103730"/>
    <x v="1"/>
    <x v="2"/>
    <x v="56"/>
    <s v="Wilmington"/>
    <x v="13"/>
    <x v="3"/>
    <x v="1"/>
    <x v="4"/>
    <s v="Companion Letter/Legal File, Black"/>
    <n v="226.56"/>
    <n v="6"/>
    <n v="0"/>
    <n v="63.436800000000005"/>
  </r>
  <r>
    <n v="123"/>
    <s v="CA-2018-103730"/>
    <x v="1"/>
    <x v="2"/>
    <x v="56"/>
    <s v="Wilmington"/>
    <x v="13"/>
    <x v="3"/>
    <x v="1"/>
    <x v="12"/>
    <s v="Globe Weis Peel &amp; Seel First Class Envelopes"/>
    <n v="115.02"/>
    <n v="9"/>
    <n v="0"/>
    <n v="51.758999999999993"/>
  </r>
  <r>
    <n v="124"/>
    <s v="CA-2018-103730"/>
    <x v="1"/>
    <x v="2"/>
    <x v="56"/>
    <s v="Wilmington"/>
    <x v="13"/>
    <x v="3"/>
    <x v="2"/>
    <x v="7"/>
    <s v="KLD Oscar II Style Snap-on Ultra Thin Side Flip Synthetic Leather Cover Case for HTC One HTC M7"/>
    <n v="68.040000000000006"/>
    <n v="7"/>
    <n v="0"/>
    <n v="19.731599999999997"/>
  </r>
  <r>
    <n v="125"/>
    <s v="US-2016-152030"/>
    <x v="58"/>
    <x v="0"/>
    <x v="57"/>
    <s v="Houston"/>
    <x v="5"/>
    <x v="2"/>
    <x v="0"/>
    <x v="1"/>
    <s v="Global Deluxe High-Back Manager's Chair"/>
    <n v="600.55799999999999"/>
    <n v="3"/>
    <n v="0.3"/>
    <n v="-8.5794000000000779"/>
  </r>
  <r>
    <n v="126"/>
    <s v="US-2016-134614"/>
    <x v="59"/>
    <x v="1"/>
    <x v="58"/>
    <s v="Bloomington"/>
    <x v="10"/>
    <x v="2"/>
    <x v="0"/>
    <x v="3"/>
    <s v="Bevis 44 x 96 Conference Tables"/>
    <n v="617.70000000000005"/>
    <n v="6"/>
    <n v="0.5"/>
    <n v="-407.68200000000013"/>
  </r>
  <r>
    <n v="127"/>
    <s v="US-2019-107272"/>
    <x v="60"/>
    <x v="1"/>
    <x v="59"/>
    <s v="Phoenix"/>
    <x v="16"/>
    <x v="1"/>
    <x v="1"/>
    <x v="8"/>
    <s v="Avery Durable Slant Ring Binders, No Labels"/>
    <n v="2.3880000000000003"/>
    <n v="2"/>
    <n v="0.7"/>
    <n v="-1.8308"/>
  </r>
  <r>
    <n v="128"/>
    <s v="US-2019-107272"/>
    <x v="60"/>
    <x v="1"/>
    <x v="59"/>
    <s v="Phoenix"/>
    <x v="16"/>
    <x v="1"/>
    <x v="1"/>
    <x v="4"/>
    <s v="Trav-L-File Heavy-Duty Shuttle II, Black"/>
    <n v="243.99200000000002"/>
    <n v="7"/>
    <n v="0.2"/>
    <n v="30.498999999999981"/>
  </r>
  <r>
    <n v="129"/>
    <s v="US-2018-125969"/>
    <x v="61"/>
    <x v="0"/>
    <x v="60"/>
    <s v="Los Angeles"/>
    <x v="1"/>
    <x v="1"/>
    <x v="0"/>
    <x v="1"/>
    <s v="Global Task Chair, Black"/>
    <n v="81.424000000000007"/>
    <n v="2"/>
    <n v="0.2"/>
    <n v="-9.1601999999999961"/>
  </r>
  <r>
    <n v="130"/>
    <s v="US-2018-125969"/>
    <x v="61"/>
    <x v="0"/>
    <x v="60"/>
    <s v="Los Angeles"/>
    <x v="1"/>
    <x v="1"/>
    <x v="0"/>
    <x v="5"/>
    <s v="Eldon Cleatmat Plus Chair Mats for High Pile Carpets"/>
    <n v="238.56"/>
    <n v="3"/>
    <n v="0"/>
    <n v="26.241599999999977"/>
  </r>
  <r>
    <n v="131"/>
    <s v="US-2019-164147"/>
    <x v="62"/>
    <x v="2"/>
    <x v="61"/>
    <s v="Columbus"/>
    <x v="24"/>
    <x v="3"/>
    <x v="2"/>
    <x v="7"/>
    <s v="Anker 36W 4-Port USB Wall Charger Travel Power Adapter for iPhone 5s 5c 5"/>
    <n v="59.969999999999992"/>
    <n v="5"/>
    <n v="0.4"/>
    <n v="-11.993999999999993"/>
  </r>
  <r>
    <n v="132"/>
    <s v="US-2019-164147"/>
    <x v="62"/>
    <x v="2"/>
    <x v="61"/>
    <s v="Columbus"/>
    <x v="24"/>
    <x v="3"/>
    <x v="1"/>
    <x v="10"/>
    <s v="Xerox 1916"/>
    <n v="78.304000000000002"/>
    <n v="2"/>
    <n v="0.2"/>
    <n v="29.363999999999997"/>
  </r>
  <r>
    <n v="133"/>
    <s v="US-2019-164147"/>
    <x v="62"/>
    <x v="2"/>
    <x v="61"/>
    <s v="Columbus"/>
    <x v="24"/>
    <x v="3"/>
    <x v="1"/>
    <x v="13"/>
    <s v="Staples"/>
    <n v="21.456"/>
    <n v="9"/>
    <n v="0.2"/>
    <n v="6.9731999999999976"/>
  </r>
  <r>
    <n v="134"/>
    <s v="CA-2018-145583"/>
    <x v="63"/>
    <x v="1"/>
    <x v="62"/>
    <s v="Roseville"/>
    <x v="1"/>
    <x v="1"/>
    <x v="1"/>
    <x v="10"/>
    <s v="Xerox 195"/>
    <n v="20.04"/>
    <n v="3"/>
    <n v="0"/>
    <n v="9.6191999999999993"/>
  </r>
  <r>
    <n v="135"/>
    <s v="CA-2018-145583"/>
    <x v="63"/>
    <x v="1"/>
    <x v="62"/>
    <s v="Roseville"/>
    <x v="1"/>
    <x v="1"/>
    <x v="1"/>
    <x v="10"/>
    <s v="Xerox 1880"/>
    <n v="35.44"/>
    <n v="1"/>
    <n v="0"/>
    <n v="16.656799999999997"/>
  </r>
  <r>
    <n v="136"/>
    <s v="CA-2018-145583"/>
    <x v="63"/>
    <x v="1"/>
    <x v="62"/>
    <s v="Roseville"/>
    <x v="1"/>
    <x v="1"/>
    <x v="1"/>
    <x v="6"/>
    <s v="Sanford Colorific Colored Pencils, 12/Box"/>
    <n v="11.52"/>
    <n v="4"/>
    <n v="0"/>
    <n v="3.4559999999999995"/>
  </r>
  <r>
    <n v="137"/>
    <s v="CA-2018-145583"/>
    <x v="63"/>
    <x v="1"/>
    <x v="62"/>
    <s v="Roseville"/>
    <x v="1"/>
    <x v="1"/>
    <x v="1"/>
    <x v="13"/>
    <s v="Ideal Clamps"/>
    <n v="4.0199999999999996"/>
    <n v="2"/>
    <n v="0"/>
    <n v="1.9697999999999998"/>
  </r>
  <r>
    <n v="138"/>
    <s v="CA-2018-145583"/>
    <x v="63"/>
    <x v="1"/>
    <x v="62"/>
    <s v="Roseville"/>
    <x v="1"/>
    <x v="1"/>
    <x v="1"/>
    <x v="8"/>
    <s v="GBC Wire Binding Strips"/>
    <n v="76.176000000000002"/>
    <n v="3"/>
    <n v="0.2"/>
    <n v="26.661599999999996"/>
  </r>
  <r>
    <n v="139"/>
    <s v="CA-2018-145583"/>
    <x v="63"/>
    <x v="1"/>
    <x v="62"/>
    <s v="Roseville"/>
    <x v="1"/>
    <x v="1"/>
    <x v="1"/>
    <x v="14"/>
    <s v="Fiskars Softgrip Scissors"/>
    <n v="65.88"/>
    <n v="6"/>
    <n v="0"/>
    <n v="18.446400000000004"/>
  </r>
  <r>
    <n v="140"/>
    <s v="CA-2018-145583"/>
    <x v="63"/>
    <x v="1"/>
    <x v="62"/>
    <s v="Roseville"/>
    <x v="1"/>
    <x v="1"/>
    <x v="0"/>
    <x v="5"/>
    <s v="Longer-Life Soft White Bulbs"/>
    <n v="43.120000000000005"/>
    <n v="14"/>
    <n v="0"/>
    <n v="20.697599999999998"/>
  </r>
  <r>
    <n v="141"/>
    <s v="CA-2018-110366"/>
    <x v="64"/>
    <x v="0"/>
    <x v="63"/>
    <s v="Philadelphia"/>
    <x v="9"/>
    <x v="3"/>
    <x v="0"/>
    <x v="5"/>
    <s v="Howard Miller 13-3/4&quot; Diameter Brushed Chrome Round Wall Clock"/>
    <n v="82.800000000000011"/>
    <n v="2"/>
    <n v="0.2"/>
    <n v="10.349999999999994"/>
  </r>
  <r>
    <n v="142"/>
    <s v="CA-2019-106180"/>
    <x v="65"/>
    <x v="1"/>
    <x v="64"/>
    <s v="San Francisco"/>
    <x v="1"/>
    <x v="1"/>
    <x v="1"/>
    <x v="6"/>
    <s v="Newell 343"/>
    <n v="8.82"/>
    <n v="3"/>
    <n v="0"/>
    <n v="2.3814000000000002"/>
  </r>
  <r>
    <n v="143"/>
    <s v="CA-2019-106180"/>
    <x v="65"/>
    <x v="1"/>
    <x v="64"/>
    <s v="San Francisco"/>
    <x v="1"/>
    <x v="1"/>
    <x v="1"/>
    <x v="12"/>
    <s v="Convenience Packs of Business Envelopes"/>
    <n v="10.86"/>
    <n v="3"/>
    <n v="0"/>
    <n v="5.1042000000000005"/>
  </r>
  <r>
    <n v="144"/>
    <s v="CA-2019-106180"/>
    <x v="65"/>
    <x v="1"/>
    <x v="64"/>
    <s v="San Francisco"/>
    <x v="1"/>
    <x v="1"/>
    <x v="1"/>
    <x v="10"/>
    <s v="Xerox 1911"/>
    <n v="143.69999999999999"/>
    <n v="3"/>
    <n v="0"/>
    <n v="68.975999999999999"/>
  </r>
  <r>
    <n v="145"/>
    <s v="CA-2019-155376"/>
    <x v="66"/>
    <x v="1"/>
    <x v="65"/>
    <s v="Independence"/>
    <x v="25"/>
    <x v="2"/>
    <x v="1"/>
    <x v="9"/>
    <s v="Sanyo 2.5 Cubic Foot Mid-Size Office Refrigerators"/>
    <n v="839.43000000000006"/>
    <n v="3"/>
    <n v="0"/>
    <n v="218.25179999999997"/>
  </r>
  <r>
    <n v="146"/>
    <s v="CA-2017-110744"/>
    <x v="67"/>
    <x v="1"/>
    <x v="66"/>
    <s v="Pasadena"/>
    <x v="1"/>
    <x v="1"/>
    <x v="1"/>
    <x v="4"/>
    <s v="Safco Industrial Wire Shelving"/>
    <n v="671.93"/>
    <n v="7"/>
    <n v="0"/>
    <n v="20.157899999999998"/>
  </r>
  <r>
    <n v="147"/>
    <s v="CA-2016-110072"/>
    <x v="68"/>
    <x v="1"/>
    <x v="67"/>
    <s v="Newark"/>
    <x v="24"/>
    <x v="3"/>
    <x v="0"/>
    <x v="5"/>
    <s v="Seth Thomas 14&quot; Putty-Colored Wall Clock"/>
    <n v="93.888000000000005"/>
    <n v="4"/>
    <n v="0.2"/>
    <n v="12.90959999999999"/>
  </r>
  <r>
    <n v="148"/>
    <s v="CA-2018-114489"/>
    <x v="5"/>
    <x v="1"/>
    <x v="68"/>
    <s v="Franklin"/>
    <x v="6"/>
    <x v="2"/>
    <x v="2"/>
    <x v="7"/>
    <s v="Plantronics Cordless Phone Headset with In-line Volume - M214C"/>
    <n v="384.45000000000005"/>
    <n v="11"/>
    <n v="0"/>
    <n v="103.80150000000003"/>
  </r>
  <r>
    <n v="149"/>
    <s v="CA-2018-114489"/>
    <x v="5"/>
    <x v="1"/>
    <x v="68"/>
    <s v="Franklin"/>
    <x v="6"/>
    <x v="2"/>
    <x v="2"/>
    <x v="7"/>
    <s v="Anker Astro 15000mAh USB Portable Charger"/>
    <n v="149.97"/>
    <n v="3"/>
    <n v="0"/>
    <n v="5.9987999999999815"/>
  </r>
  <r>
    <n v="150"/>
    <s v="CA-2018-114489"/>
    <x v="5"/>
    <x v="1"/>
    <x v="68"/>
    <s v="Franklin"/>
    <x v="6"/>
    <x v="2"/>
    <x v="0"/>
    <x v="1"/>
    <s v="Hon Deluxe Fabric Upholstered Stacking Chairs, Rounded Back"/>
    <n v="1951.84"/>
    <n v="8"/>
    <n v="0"/>
    <n v="585.55199999999991"/>
  </r>
  <r>
    <n v="151"/>
    <s v="CA-2018-114489"/>
    <x v="5"/>
    <x v="1"/>
    <x v="68"/>
    <s v="Franklin"/>
    <x v="6"/>
    <x v="2"/>
    <x v="1"/>
    <x v="8"/>
    <s v="GBC Prestige Therm-A-Bind Covers"/>
    <n v="171.55"/>
    <n v="5"/>
    <n v="0"/>
    <n v="80.628500000000003"/>
  </r>
  <r>
    <n v="152"/>
    <s v="CA-2018-158834"/>
    <x v="69"/>
    <x v="2"/>
    <x v="69"/>
    <s v="Scottsdale"/>
    <x v="16"/>
    <x v="1"/>
    <x v="1"/>
    <x v="9"/>
    <s v="Belkin 7 Outlet SurgeMaster Surge Protector with Phone Protection"/>
    <n v="157.91999999999999"/>
    <n v="5"/>
    <n v="0.2"/>
    <n v="17.765999999999991"/>
  </r>
  <r>
    <n v="153"/>
    <s v="CA-2018-158834"/>
    <x v="69"/>
    <x v="2"/>
    <x v="69"/>
    <s v="Scottsdale"/>
    <x v="16"/>
    <x v="1"/>
    <x v="2"/>
    <x v="7"/>
    <s v="Jabra BIZ 2300 Duo QD Duo Corded Headset"/>
    <n v="203.184"/>
    <n v="2"/>
    <n v="0.2"/>
    <n v="15.238799999999991"/>
  </r>
  <r>
    <n v="154"/>
    <s v="CA-2017-124919"/>
    <x v="70"/>
    <x v="2"/>
    <x v="70"/>
    <s v="San Jose"/>
    <x v="1"/>
    <x v="1"/>
    <x v="1"/>
    <x v="10"/>
    <s v="Southworth 25% Cotton Antique Laid Paper &amp; Envelopes"/>
    <n v="58.379999999999995"/>
    <n v="7"/>
    <n v="0"/>
    <n v="26.270999999999994"/>
  </r>
  <r>
    <n v="155"/>
    <s v="CA-2017-124919"/>
    <x v="70"/>
    <x v="2"/>
    <x v="70"/>
    <s v="San Jose"/>
    <x v="1"/>
    <x v="1"/>
    <x v="1"/>
    <x v="10"/>
    <s v="Xerox 1883"/>
    <n v="105.52"/>
    <n v="4"/>
    <n v="0"/>
    <n v="48.539199999999994"/>
  </r>
  <r>
    <n v="156"/>
    <s v="CA-2017-124919"/>
    <x v="70"/>
    <x v="2"/>
    <x v="70"/>
    <s v="San Jose"/>
    <x v="1"/>
    <x v="1"/>
    <x v="1"/>
    <x v="4"/>
    <s v="Tenex Personal Project File with Scoop Front Design, Black"/>
    <n v="80.88"/>
    <n v="6"/>
    <n v="0"/>
    <n v="21.028799999999997"/>
  </r>
  <r>
    <n v="157"/>
    <s v="CA-2017-118948"/>
    <x v="71"/>
    <x v="1"/>
    <x v="71"/>
    <s v="Seattle"/>
    <x v="4"/>
    <x v="1"/>
    <x v="1"/>
    <x v="6"/>
    <s v="Newell 311"/>
    <n v="6.63"/>
    <n v="3"/>
    <n v="0"/>
    <n v="1.7901"/>
  </r>
  <r>
    <n v="158"/>
    <s v="CA-2016-104269"/>
    <x v="72"/>
    <x v="0"/>
    <x v="72"/>
    <s v="Seattle"/>
    <x v="4"/>
    <x v="1"/>
    <x v="0"/>
    <x v="1"/>
    <s v="Global Deluxe High-Back Manager's Chair"/>
    <n v="457.56800000000004"/>
    <n v="2"/>
    <n v="0.2"/>
    <n v="51.476399999999941"/>
  </r>
  <r>
    <n v="159"/>
    <s v="CA-2018-114104"/>
    <x v="73"/>
    <x v="1"/>
    <x v="73"/>
    <s v="Edmond"/>
    <x v="26"/>
    <x v="2"/>
    <x v="1"/>
    <x v="2"/>
    <s v="Avery 519"/>
    <n v="14.62"/>
    <n v="2"/>
    <n v="0"/>
    <n v="6.8713999999999995"/>
  </r>
  <r>
    <n v="160"/>
    <s v="CA-2018-114104"/>
    <x v="73"/>
    <x v="1"/>
    <x v="73"/>
    <s v="Edmond"/>
    <x v="26"/>
    <x v="2"/>
    <x v="2"/>
    <x v="7"/>
    <s v="Avaya 5420 Digital phone"/>
    <n v="944.93000000000006"/>
    <n v="7"/>
    <n v="0"/>
    <n v="236.23250000000002"/>
  </r>
  <r>
    <n v="161"/>
    <s v="CA-2018-162733"/>
    <x v="74"/>
    <x v="2"/>
    <x v="74"/>
    <s v="Los Angeles"/>
    <x v="1"/>
    <x v="1"/>
    <x v="1"/>
    <x v="10"/>
    <s v="Xerox 1920"/>
    <n v="5.98"/>
    <n v="1"/>
    <n v="0"/>
    <n v="2.6909999999999998"/>
  </r>
  <r>
    <n v="162"/>
    <s v="CA-2017-119697"/>
    <x v="75"/>
    <x v="0"/>
    <x v="75"/>
    <s v="Philadelphia"/>
    <x v="9"/>
    <x v="3"/>
    <x v="2"/>
    <x v="11"/>
    <s v="Lenovo 17-Key USB Numeric Keypad"/>
    <n v="54.384000000000007"/>
    <n v="2"/>
    <n v="0.2"/>
    <n v="1.359599999999995"/>
  </r>
  <r>
    <n v="163"/>
    <s v="CA-2018-154508"/>
    <x v="76"/>
    <x v="1"/>
    <x v="76"/>
    <s v="Carlsbad"/>
    <x v="27"/>
    <x v="1"/>
    <x v="1"/>
    <x v="12"/>
    <s v="Staple envelope"/>
    <n v="28.4"/>
    <n v="5"/>
    <n v="0"/>
    <n v="13.347999999999997"/>
  </r>
  <r>
    <n v="164"/>
    <s v="CA-2018-113817"/>
    <x v="77"/>
    <x v="1"/>
    <x v="77"/>
    <s v="Seattle"/>
    <x v="4"/>
    <x v="1"/>
    <x v="1"/>
    <x v="8"/>
    <s v="Wilson Jones International Size A4 Ring Binders"/>
    <n v="27.680000000000003"/>
    <n v="2"/>
    <n v="0.2"/>
    <n v="9.6879999999999988"/>
  </r>
  <r>
    <n v="165"/>
    <s v="CA-2016-139892"/>
    <x v="78"/>
    <x v="1"/>
    <x v="78"/>
    <s v="San Antonio"/>
    <x v="5"/>
    <x v="2"/>
    <x v="1"/>
    <x v="6"/>
    <s v="BIC Brite Liner Highlighters"/>
    <n v="9.9359999999999999"/>
    <n v="3"/>
    <n v="0.2"/>
    <n v="2.7324000000000002"/>
  </r>
  <r>
    <n v="166"/>
    <s v="CA-2016-139892"/>
    <x v="78"/>
    <x v="1"/>
    <x v="78"/>
    <s v="San Antonio"/>
    <x v="5"/>
    <x v="2"/>
    <x v="2"/>
    <x v="15"/>
    <s v="Lexmark MX611dhe Monochrome Laser Printer"/>
    <n v="8159.9519999999993"/>
    <n v="8"/>
    <n v="0.4"/>
    <n v="-1359.992000000002"/>
  </r>
  <r>
    <n v="167"/>
    <s v="CA-2016-139892"/>
    <x v="78"/>
    <x v="1"/>
    <x v="78"/>
    <s v="San Antonio"/>
    <x v="5"/>
    <x v="2"/>
    <x v="1"/>
    <x v="4"/>
    <s v="Space Solutions HD Industrial Steel Shelving."/>
    <n v="275.928"/>
    <n v="3"/>
    <n v="0.2"/>
    <n v="-58.634699999999995"/>
  </r>
  <r>
    <n v="168"/>
    <s v="CA-2016-139892"/>
    <x v="78"/>
    <x v="1"/>
    <x v="78"/>
    <s v="San Antonio"/>
    <x v="5"/>
    <x v="2"/>
    <x v="0"/>
    <x v="1"/>
    <s v="SAFCO Arco Folding Chair"/>
    <n v="1740.0599999999997"/>
    <n v="9"/>
    <n v="0.3"/>
    <n v="-24.858000000000175"/>
  </r>
  <r>
    <n v="169"/>
    <s v="CA-2016-139892"/>
    <x v="78"/>
    <x v="1"/>
    <x v="78"/>
    <s v="San Antonio"/>
    <x v="5"/>
    <x v="2"/>
    <x v="1"/>
    <x v="6"/>
    <s v="Sanford Liquid Accent Highlighters"/>
    <n v="32.064"/>
    <n v="6"/>
    <n v="0.2"/>
    <n v="6.8135999999999974"/>
  </r>
  <r>
    <n v="170"/>
    <s v="CA-2016-139892"/>
    <x v="78"/>
    <x v="1"/>
    <x v="78"/>
    <s v="San Antonio"/>
    <x v="5"/>
    <x v="2"/>
    <x v="1"/>
    <x v="9"/>
    <s v="Kensington 7 Outlet MasterPiece Power Center"/>
    <n v="177.97999999999996"/>
    <n v="5"/>
    <n v="0.8"/>
    <n v="-453.84900000000005"/>
  </r>
  <r>
    <n v="171"/>
    <s v="CA-2016-139892"/>
    <x v="78"/>
    <x v="1"/>
    <x v="78"/>
    <s v="San Antonio"/>
    <x v="5"/>
    <x v="2"/>
    <x v="2"/>
    <x v="7"/>
    <s v="JBL Micro Wireless Portable Bluetooth Speaker"/>
    <n v="143.976"/>
    <n v="3"/>
    <n v="0.2"/>
    <n v="8.998500000000007"/>
  </r>
  <r>
    <n v="172"/>
    <s v="CA-2016-118962"/>
    <x v="79"/>
    <x v="1"/>
    <x v="79"/>
    <s v="Los Angeles"/>
    <x v="1"/>
    <x v="1"/>
    <x v="1"/>
    <x v="10"/>
    <s v="Adams Phone Message Book, Professional, 400 Message Capacity, 5 3/6” x 11”"/>
    <n v="20.94"/>
    <n v="3"/>
    <n v="0"/>
    <n v="9.841800000000001"/>
  </r>
  <r>
    <n v="173"/>
    <s v="CA-2016-118962"/>
    <x v="79"/>
    <x v="1"/>
    <x v="79"/>
    <s v="Los Angeles"/>
    <x v="1"/>
    <x v="1"/>
    <x v="1"/>
    <x v="10"/>
    <s v="Xerox 1913"/>
    <n v="110.96"/>
    <n v="2"/>
    <n v="0"/>
    <n v="53.260799999999996"/>
  </r>
  <r>
    <n v="174"/>
    <s v="CA-2016-118962"/>
    <x v="79"/>
    <x v="1"/>
    <x v="79"/>
    <s v="Los Angeles"/>
    <x v="1"/>
    <x v="1"/>
    <x v="0"/>
    <x v="1"/>
    <s v="Global Value Steno Chair, Gray"/>
    <n v="340.14400000000006"/>
    <n v="7"/>
    <n v="0.2"/>
    <n v="21.259"/>
  </r>
  <r>
    <n v="175"/>
    <s v="US-2016-100853"/>
    <x v="80"/>
    <x v="1"/>
    <x v="80"/>
    <s v="Chicago"/>
    <x v="10"/>
    <x v="2"/>
    <x v="1"/>
    <x v="9"/>
    <s v="Kensington 7 Outlet MasterPiece HOMEOFFICE Power Control Center"/>
    <n v="52.447999999999993"/>
    <n v="2"/>
    <n v="0.8"/>
    <n v="-131.12000000000003"/>
  </r>
  <r>
    <n v="176"/>
    <s v="US-2016-100853"/>
    <x v="80"/>
    <x v="1"/>
    <x v="80"/>
    <s v="Chicago"/>
    <x v="10"/>
    <x v="2"/>
    <x v="1"/>
    <x v="2"/>
    <s v="Avery 51"/>
    <n v="20.16"/>
    <n v="4"/>
    <n v="0.2"/>
    <n v="6.5519999999999987"/>
  </r>
  <r>
    <n v="177"/>
    <s v="US-2019-152366"/>
    <x v="81"/>
    <x v="0"/>
    <x v="81"/>
    <s v="Houston"/>
    <x v="5"/>
    <x v="2"/>
    <x v="1"/>
    <x v="9"/>
    <s v="Acco 7-Outlet Masterpiece Power Center, Wihtout Fax/Phone Line Protection"/>
    <n v="97.263999999999982"/>
    <n v="4"/>
    <n v="0.8"/>
    <n v="-243.16000000000008"/>
  </r>
  <r>
    <n v="178"/>
    <s v="US-2017-101511"/>
    <x v="82"/>
    <x v="0"/>
    <x v="32"/>
    <s v="Newark"/>
    <x v="24"/>
    <x v="3"/>
    <x v="0"/>
    <x v="1"/>
    <s v="Padded Folding Chairs, Black, 4/Carton"/>
    <n v="396.80200000000002"/>
    <n v="7"/>
    <n v="0.3"/>
    <n v="-11.337199999999939"/>
  </r>
  <r>
    <n v="179"/>
    <s v="US-2017-101511"/>
    <x v="82"/>
    <x v="0"/>
    <x v="32"/>
    <s v="Newark"/>
    <x v="24"/>
    <x v="3"/>
    <x v="1"/>
    <x v="14"/>
    <s v="Acme Rosewood Handle Letter Opener"/>
    <n v="15.88"/>
    <n v="5"/>
    <n v="0.2"/>
    <n v="-3.771500000000001"/>
  </r>
  <r>
    <n v="180"/>
    <s v="CA-2017-137225"/>
    <x v="83"/>
    <x v="1"/>
    <x v="82"/>
    <s v="New York City"/>
    <x v="15"/>
    <x v="3"/>
    <x v="1"/>
    <x v="6"/>
    <s v="Sanford Colorific Eraseable Coloring Pencils, 12 Count"/>
    <n v="3.28"/>
    <n v="1"/>
    <n v="0"/>
    <n v="1.4104000000000001"/>
  </r>
  <r>
    <n v="181"/>
    <s v="CA-2016-166191"/>
    <x v="29"/>
    <x v="0"/>
    <x v="83"/>
    <s v="Decatur"/>
    <x v="10"/>
    <x v="2"/>
    <x v="1"/>
    <x v="4"/>
    <s v="Tenex File Box, Personal Filing Tote with Lid, Black"/>
    <n v="24.816000000000003"/>
    <n v="2"/>
    <n v="0.2"/>
    <n v="1.8612000000000002"/>
  </r>
  <r>
    <n v="182"/>
    <s v="CA-2016-166191"/>
    <x v="29"/>
    <x v="0"/>
    <x v="83"/>
    <s v="Decatur"/>
    <x v="10"/>
    <x v="2"/>
    <x v="2"/>
    <x v="11"/>
    <s v="Imation Secure+ Hardware Encrypted USB 2.0 Flash Drive; 16GB"/>
    <n v="408.74399999999997"/>
    <n v="7"/>
    <n v="0.2"/>
    <n v="76.639499999999984"/>
  </r>
  <r>
    <n v="183"/>
    <s v="CA-2016-158274"/>
    <x v="84"/>
    <x v="0"/>
    <x v="84"/>
    <s v="Monroe"/>
    <x v="28"/>
    <x v="0"/>
    <x v="2"/>
    <x v="7"/>
    <s v="AT&amp;T TR1909W"/>
    <n v="503.96"/>
    <n v="4"/>
    <n v="0"/>
    <n v="131.02960000000002"/>
  </r>
  <r>
    <n v="184"/>
    <s v="CA-2016-158274"/>
    <x v="84"/>
    <x v="0"/>
    <x v="84"/>
    <s v="Monroe"/>
    <x v="28"/>
    <x v="0"/>
    <x v="2"/>
    <x v="7"/>
    <s v="Nokia Lumia 521 (T-Mobile)"/>
    <n v="149.94999999999999"/>
    <n v="5"/>
    <n v="0"/>
    <n v="41.986000000000004"/>
  </r>
  <r>
    <n v="185"/>
    <s v="CA-2016-158274"/>
    <x v="84"/>
    <x v="0"/>
    <x v="84"/>
    <s v="Monroe"/>
    <x v="28"/>
    <x v="0"/>
    <x v="2"/>
    <x v="11"/>
    <s v="HP Standard 104 key PS/2 Keyboard"/>
    <n v="29"/>
    <n v="2"/>
    <n v="0"/>
    <n v="7.25"/>
  </r>
  <r>
    <n v="186"/>
    <s v="CA-2018-105018"/>
    <x v="85"/>
    <x v="1"/>
    <x v="85"/>
    <s v="Fairfield"/>
    <x v="29"/>
    <x v="3"/>
    <x v="1"/>
    <x v="8"/>
    <s v="Avery Poly Binder Pockets"/>
    <n v="7.16"/>
    <n v="2"/>
    <n v="0"/>
    <n v="3.4367999999999999"/>
  </r>
  <r>
    <n v="187"/>
    <s v="CA-2016-123260"/>
    <x v="86"/>
    <x v="1"/>
    <x v="86"/>
    <s v="Los Angeles"/>
    <x v="1"/>
    <x v="1"/>
    <x v="2"/>
    <x v="11"/>
    <s v="SanDisk Ultra 32 GB MicroSDHC Class 10 Memory Card"/>
    <n v="176.8"/>
    <n v="8"/>
    <n v="0"/>
    <n v="22.984000000000009"/>
  </r>
  <r>
    <n v="188"/>
    <s v="CA-2018-157000"/>
    <x v="87"/>
    <x v="1"/>
    <x v="87"/>
    <s v="Grand Prairie"/>
    <x v="5"/>
    <x v="2"/>
    <x v="1"/>
    <x v="4"/>
    <s v="Personal Filing Tote with Lid, Black/Gray"/>
    <n v="37.224000000000004"/>
    <n v="3"/>
    <n v="0.2"/>
    <n v="3.7224000000000004"/>
  </r>
  <r>
    <n v="189"/>
    <s v="CA-2018-157000"/>
    <x v="87"/>
    <x v="1"/>
    <x v="87"/>
    <s v="Grand Prairie"/>
    <x v="5"/>
    <x v="2"/>
    <x v="1"/>
    <x v="10"/>
    <s v="Southworth 25% Cotton Antique Laid Paper &amp; Envelopes"/>
    <n v="20.016000000000002"/>
    <n v="3"/>
    <n v="0.2"/>
    <n v="6.2549999999999963"/>
  </r>
  <r>
    <n v="190"/>
    <s v="CA-2017-102281"/>
    <x v="88"/>
    <x v="2"/>
    <x v="88"/>
    <s v="New York City"/>
    <x v="15"/>
    <x v="3"/>
    <x v="0"/>
    <x v="0"/>
    <s v="Atlantic Metals Mobile 4-Shelf Bookcases, Custom Colors"/>
    <n v="899.13600000000008"/>
    <n v="4"/>
    <n v="0.2"/>
    <n v="112.39199999999991"/>
  </r>
  <r>
    <n v="191"/>
    <s v="CA-2017-102281"/>
    <x v="88"/>
    <x v="2"/>
    <x v="88"/>
    <s v="New York City"/>
    <x v="15"/>
    <x v="3"/>
    <x v="2"/>
    <x v="7"/>
    <s v="I Need's 3d Hello Kitty Hybrid Silicone Case Cover for HTC One X 4g with 3d Hello Kitty Stylus Pen Green/pink"/>
    <n v="71.760000000000005"/>
    <n v="6"/>
    <n v="0"/>
    <n v="20.092800000000004"/>
  </r>
  <r>
    <n v="192"/>
    <s v="CA-2017-102281"/>
    <x v="88"/>
    <x v="2"/>
    <x v="88"/>
    <s v="New York City"/>
    <x v="15"/>
    <x v="3"/>
    <x v="1"/>
    <x v="10"/>
    <s v="Xerox 205"/>
    <n v="51.84"/>
    <n v="8"/>
    <n v="0"/>
    <n v="24.883200000000002"/>
  </r>
  <r>
    <n v="193"/>
    <s v="CA-2017-102281"/>
    <x v="88"/>
    <x v="2"/>
    <x v="88"/>
    <s v="New York City"/>
    <x v="15"/>
    <x v="3"/>
    <x v="0"/>
    <x v="0"/>
    <s v="Atlantic Metals Mobile 3-Shelf Bookcases, Custom Colors"/>
    <n v="626.35200000000009"/>
    <n v="3"/>
    <n v="0.2"/>
    <n v="46.976400000000012"/>
  </r>
  <r>
    <n v="194"/>
    <s v="CA-2017-102281"/>
    <x v="88"/>
    <x v="2"/>
    <x v="88"/>
    <s v="New York City"/>
    <x v="15"/>
    <x v="3"/>
    <x v="1"/>
    <x v="6"/>
    <s v="4009 Highlighters by Sanford"/>
    <n v="19.899999999999999"/>
    <n v="5"/>
    <n v="0"/>
    <n v="6.5669999999999984"/>
  </r>
  <r>
    <n v="195"/>
    <s v="CA-2017-131457"/>
    <x v="89"/>
    <x v="1"/>
    <x v="89"/>
    <s v="Redlands"/>
    <x v="1"/>
    <x v="1"/>
    <x v="1"/>
    <x v="12"/>
    <s v="Poly String Tie Envelopes"/>
    <n v="14.280000000000001"/>
    <n v="7"/>
    <n v="0"/>
    <n v="6.7115999999999989"/>
  </r>
  <r>
    <n v="196"/>
    <s v="CA-2016-140004"/>
    <x v="90"/>
    <x v="1"/>
    <x v="90"/>
    <s v="Hamilton"/>
    <x v="24"/>
    <x v="3"/>
    <x v="1"/>
    <x v="6"/>
    <s v="Binney &amp; Smith Crayola Metallic Colored Pencils, 8-Color Set"/>
    <n v="7.4080000000000004"/>
    <n v="2"/>
    <n v="0.2"/>
    <n v="1.2037999999999995"/>
  </r>
  <r>
    <n v="197"/>
    <s v="CA-2016-140004"/>
    <x v="90"/>
    <x v="1"/>
    <x v="90"/>
    <s v="Hamilton"/>
    <x v="24"/>
    <x v="3"/>
    <x v="1"/>
    <x v="6"/>
    <s v="Binney &amp; Smith inkTank Erasable Desk Highlighter, Chisel Tip, Yellow, 12/Box"/>
    <n v="6.048"/>
    <n v="3"/>
    <n v="0.2"/>
    <n v="1.5876000000000006"/>
  </r>
  <r>
    <n v="198"/>
    <s v="CA-2019-107720"/>
    <x v="44"/>
    <x v="1"/>
    <x v="91"/>
    <s v="Westfield"/>
    <x v="30"/>
    <x v="3"/>
    <x v="1"/>
    <x v="4"/>
    <s v="Decoflex Hanging Personal Folder File"/>
    <n v="46.26"/>
    <n v="3"/>
    <n v="0"/>
    <n v="12.0276"/>
  </r>
  <r>
    <n v="199"/>
    <s v="US-2019-124303"/>
    <x v="91"/>
    <x v="1"/>
    <x v="92"/>
    <s v="Philadelphia"/>
    <x v="9"/>
    <x v="3"/>
    <x v="1"/>
    <x v="8"/>
    <s v="Pressboard Covers with Storage Hooks, 9 1/2&quot; x 11&quot;, Light Blue"/>
    <n v="2.9460000000000006"/>
    <n v="2"/>
    <n v="0.7"/>
    <n v="-2.2585999999999995"/>
  </r>
  <r>
    <n v="200"/>
    <s v="US-2019-124303"/>
    <x v="91"/>
    <x v="1"/>
    <x v="92"/>
    <s v="Philadelphia"/>
    <x v="9"/>
    <x v="3"/>
    <x v="1"/>
    <x v="10"/>
    <s v="Wirebound Message Books, 5-1/2 x 4 Forms, 2 or 4 Forms per Page"/>
    <n v="16.056000000000001"/>
    <n v="3"/>
    <n v="0.2"/>
    <n v="5.8203000000000005"/>
  </r>
  <r>
    <n v="201"/>
    <s v="CA-2019-105074"/>
    <x v="92"/>
    <x v="1"/>
    <x v="93"/>
    <s v="Akron"/>
    <x v="24"/>
    <x v="3"/>
    <x v="1"/>
    <x v="10"/>
    <s v="Southworth 25% Cotton Linen-Finish Paper &amp; Envelopes"/>
    <n v="21.744000000000003"/>
    <n v="3"/>
    <n v="0.2"/>
    <n v="6.794999999999999"/>
  </r>
  <r>
    <n v="202"/>
    <s v="CA-2016-133690"/>
    <x v="93"/>
    <x v="2"/>
    <x v="94"/>
    <s v="Denver"/>
    <x v="22"/>
    <x v="1"/>
    <x v="0"/>
    <x v="3"/>
    <s v="BoxOffice By Design Rectangular and Half-Moon Meeting Room Tables"/>
    <n v="218.75"/>
    <n v="2"/>
    <n v="0.5"/>
    <n v="-161.875"/>
  </r>
  <r>
    <n v="203"/>
    <s v="CA-2016-133690"/>
    <x v="93"/>
    <x v="2"/>
    <x v="94"/>
    <s v="Denver"/>
    <x v="22"/>
    <x v="1"/>
    <x v="1"/>
    <x v="9"/>
    <s v="Bravo II Megaboss 12-Amp Hard Body Upright, Replacement Belts, 2 Belts per Pack"/>
    <n v="2.6"/>
    <n v="1"/>
    <n v="0.2"/>
    <n v="0.29249999999999987"/>
  </r>
  <r>
    <n v="204"/>
    <s v="US-2019-116701"/>
    <x v="94"/>
    <x v="0"/>
    <x v="95"/>
    <s v="Dallas"/>
    <x v="5"/>
    <x v="2"/>
    <x v="1"/>
    <x v="9"/>
    <s v="Eureka Sanitaire  Commercial Upright"/>
    <n v="66.283999999999992"/>
    <n v="2"/>
    <n v="0.8"/>
    <n v="-178.96680000000001"/>
  </r>
  <r>
    <n v="205"/>
    <s v="CA-2019-126382"/>
    <x v="95"/>
    <x v="1"/>
    <x v="96"/>
    <s v="Franklin"/>
    <x v="18"/>
    <x v="0"/>
    <x v="0"/>
    <x v="5"/>
    <s v="Eldon 200 Class Desk Accessories, Burgundy"/>
    <n v="35.168000000000006"/>
    <n v="7"/>
    <n v="0.2"/>
    <n v="9.6712000000000025"/>
  </r>
  <r>
    <n v="206"/>
    <s v="CA-2019-108329"/>
    <x v="34"/>
    <x v="1"/>
    <x v="97"/>
    <s v="Whittier"/>
    <x v="1"/>
    <x v="1"/>
    <x v="2"/>
    <x v="7"/>
    <s v="Nortel Business Series Terminal T7208 Digital phone"/>
    <n v="444.76800000000003"/>
    <n v="4"/>
    <n v="0.2"/>
    <n v="44.476800000000026"/>
  </r>
  <r>
    <n v="207"/>
    <s v="CA-2019-135860"/>
    <x v="96"/>
    <x v="1"/>
    <x v="98"/>
    <s v="Saginaw"/>
    <x v="12"/>
    <x v="2"/>
    <x v="1"/>
    <x v="4"/>
    <s v="Tennsco Lockers, Gray"/>
    <n v="83.92"/>
    <n v="4"/>
    <n v="0"/>
    <n v="5.8743999999999943"/>
  </r>
  <r>
    <n v="208"/>
    <s v="CA-2019-135860"/>
    <x v="96"/>
    <x v="1"/>
    <x v="98"/>
    <s v="Saginaw"/>
    <x v="12"/>
    <x v="2"/>
    <x v="2"/>
    <x v="7"/>
    <s v="Panasonic KX-TG6844B Expandable Digital Cordless Telephone"/>
    <n v="131.97999999999999"/>
    <n v="2"/>
    <n v="0"/>
    <n v="35.634600000000006"/>
  </r>
  <r>
    <n v="209"/>
    <s v="CA-2019-135860"/>
    <x v="96"/>
    <x v="1"/>
    <x v="98"/>
    <s v="Saginaw"/>
    <x v="12"/>
    <x v="2"/>
    <x v="1"/>
    <x v="8"/>
    <s v="Avery Durable Slant Ring Binders, No Labels"/>
    <n v="15.92"/>
    <n v="4"/>
    <n v="0"/>
    <n v="7.4824000000000002"/>
  </r>
  <r>
    <n v="210"/>
    <s v="CA-2019-135860"/>
    <x v="96"/>
    <x v="1"/>
    <x v="98"/>
    <s v="Saginaw"/>
    <x v="12"/>
    <x v="2"/>
    <x v="1"/>
    <x v="13"/>
    <s v="Advantus Push Pins, Aluminum Head"/>
    <n v="52.29"/>
    <n v="9"/>
    <n v="0"/>
    <n v="16.209899999999998"/>
  </r>
  <r>
    <n v="211"/>
    <s v="CA-2019-135860"/>
    <x v="96"/>
    <x v="1"/>
    <x v="98"/>
    <s v="Saginaw"/>
    <x v="12"/>
    <x v="2"/>
    <x v="1"/>
    <x v="4"/>
    <s v="Gould Plastics 18-Pocket Panel Bin, 34w x 5-1/4d x 20-1/2h"/>
    <n v="91.99"/>
    <n v="1"/>
    <n v="0"/>
    <n v="3.6795999999999935"/>
  </r>
  <r>
    <n v="212"/>
    <s v="CA-2017-101007"/>
    <x v="97"/>
    <x v="0"/>
    <x v="99"/>
    <s v="Dallas"/>
    <x v="5"/>
    <x v="2"/>
    <x v="2"/>
    <x v="11"/>
    <s v="Memorex Micro Travel Drive 8 GB"/>
    <n v="20.8"/>
    <n v="2"/>
    <n v="0.2"/>
    <n v="6.4999999999999991"/>
  </r>
  <r>
    <n v="213"/>
    <s v="CA-2017-146262"/>
    <x v="98"/>
    <x v="1"/>
    <x v="100"/>
    <s v="Medina"/>
    <x v="24"/>
    <x v="3"/>
    <x v="1"/>
    <x v="2"/>
    <s v="Avery 505"/>
    <n v="23.680000000000003"/>
    <n v="2"/>
    <n v="0.2"/>
    <n v="8.879999999999999"/>
  </r>
  <r>
    <n v="214"/>
    <s v="CA-2017-146262"/>
    <x v="98"/>
    <x v="1"/>
    <x v="100"/>
    <s v="Medina"/>
    <x v="24"/>
    <x v="3"/>
    <x v="0"/>
    <x v="0"/>
    <s v="O'Sullivan 2-Door Barrister Bookcase in Odessa Pine"/>
    <n v="452.45"/>
    <n v="5"/>
    <n v="0.5"/>
    <n v="-244.32300000000006"/>
  </r>
  <r>
    <n v="215"/>
    <s v="CA-2017-146262"/>
    <x v="98"/>
    <x v="1"/>
    <x v="100"/>
    <s v="Medina"/>
    <x v="24"/>
    <x v="3"/>
    <x v="2"/>
    <x v="7"/>
    <s v="Speck Products Candyshell Flip Case"/>
    <n v="62.981999999999999"/>
    <n v="3"/>
    <n v="0.4"/>
    <n v="-14.695800000000006"/>
  </r>
  <r>
    <n v="216"/>
    <s v="CA-2017-146262"/>
    <x v="98"/>
    <x v="1"/>
    <x v="100"/>
    <s v="Medina"/>
    <x v="24"/>
    <x v="3"/>
    <x v="2"/>
    <x v="15"/>
    <s v="Cisco 9971 IP Video Phone Charcoal"/>
    <n v="1188.0000000000002"/>
    <n v="9"/>
    <n v="0.7"/>
    <n v="-950.40000000000009"/>
  </r>
  <r>
    <n v="217"/>
    <s v="CA-2017-146262"/>
    <x v="98"/>
    <x v="1"/>
    <x v="100"/>
    <s v="Medina"/>
    <x v="24"/>
    <x v="3"/>
    <x v="2"/>
    <x v="11"/>
    <s v="Sony Micro Vault Click 16 GB USB 2.0 Flash Drive"/>
    <n v="89.584000000000003"/>
    <n v="2"/>
    <n v="0.2"/>
    <n v="4.4792000000000058"/>
  </r>
  <r>
    <n v="218"/>
    <s v="CA-2018-130162"/>
    <x v="99"/>
    <x v="1"/>
    <x v="101"/>
    <s v="Los Angeles"/>
    <x v="1"/>
    <x v="1"/>
    <x v="1"/>
    <x v="4"/>
    <s v="Personal Filing Tote with Lid, Black/Gray"/>
    <n v="93.06"/>
    <n v="6"/>
    <n v="0"/>
    <n v="26.056800000000003"/>
  </r>
  <r>
    <n v="219"/>
    <s v="CA-2018-130162"/>
    <x v="99"/>
    <x v="1"/>
    <x v="101"/>
    <s v="Los Angeles"/>
    <x v="1"/>
    <x v="1"/>
    <x v="2"/>
    <x v="7"/>
    <s v="Adtran 1202752G1"/>
    <n v="302.37599999999998"/>
    <n v="3"/>
    <n v="0.2"/>
    <n v="22.678200000000018"/>
  </r>
  <r>
    <n v="220"/>
    <s v="CA-2017-169397"/>
    <x v="100"/>
    <x v="2"/>
    <x v="102"/>
    <s v="Dublin"/>
    <x v="24"/>
    <x v="3"/>
    <x v="1"/>
    <x v="13"/>
    <s v="OIC Bulk Pack Metal Binder Clips"/>
    <n v="5.5840000000000005"/>
    <n v="2"/>
    <n v="0.2"/>
    <n v="1.8147999999999997"/>
  </r>
  <r>
    <n v="221"/>
    <s v="CA-2017-169397"/>
    <x v="100"/>
    <x v="2"/>
    <x v="102"/>
    <s v="Dublin"/>
    <x v="24"/>
    <x v="3"/>
    <x v="1"/>
    <x v="10"/>
    <s v="While You Were Out Pads, 50 per Pad, 4 x 5 1/4, Green Cycle"/>
    <n v="22.704000000000004"/>
    <n v="6"/>
    <n v="0.2"/>
    <n v="8.2302"/>
  </r>
  <r>
    <n v="222"/>
    <s v="CA-2017-169397"/>
    <x v="100"/>
    <x v="2"/>
    <x v="102"/>
    <s v="Dublin"/>
    <x v="24"/>
    <x v="3"/>
    <x v="1"/>
    <x v="8"/>
    <s v="Ibico Standard Transparent Covers"/>
    <n v="19.776000000000003"/>
    <n v="4"/>
    <n v="0.7"/>
    <n v="-13.843199999999996"/>
  </r>
  <r>
    <n v="223"/>
    <s v="CA-2017-169397"/>
    <x v="100"/>
    <x v="2"/>
    <x v="102"/>
    <s v="Dublin"/>
    <x v="24"/>
    <x v="3"/>
    <x v="0"/>
    <x v="5"/>
    <s v="Executive Impressions 14&quot; Two-Color Numerals Wall Clock"/>
    <n v="72.703999999999994"/>
    <n v="4"/>
    <n v="0.2"/>
    <n v="19.084800000000005"/>
  </r>
  <r>
    <n v="224"/>
    <s v="CA-2017-169397"/>
    <x v="100"/>
    <x v="2"/>
    <x v="102"/>
    <s v="Dublin"/>
    <x v="24"/>
    <x v="3"/>
    <x v="2"/>
    <x v="15"/>
    <s v="Swingline SM12-08 MicroCut Jam Free Shredder"/>
    <n v="479.98800000000006"/>
    <n v="4"/>
    <n v="0.7"/>
    <n v="-383.99040000000002"/>
  </r>
  <r>
    <n v="225"/>
    <s v="CA-2017-169397"/>
    <x v="100"/>
    <x v="2"/>
    <x v="102"/>
    <s v="Dublin"/>
    <x v="24"/>
    <x v="3"/>
    <x v="1"/>
    <x v="6"/>
    <s v="Stanley Bostitch Contemporary Electric Pencil Sharpeners"/>
    <n v="27.168000000000003"/>
    <n v="2"/>
    <n v="0.2"/>
    <n v="2.7168000000000001"/>
  </r>
  <r>
    <n v="226"/>
    <s v="CA-2017-163055"/>
    <x v="101"/>
    <x v="1"/>
    <x v="103"/>
    <s v="Detroit"/>
    <x v="12"/>
    <x v="2"/>
    <x v="1"/>
    <x v="6"/>
    <s v="Sanford Uni-Blazer View Highlighters, Chisel Tip, Yellow"/>
    <n v="2.2000000000000002"/>
    <n v="1"/>
    <n v="0"/>
    <n v="0.96800000000000019"/>
  </r>
  <r>
    <n v="227"/>
    <s v="CA-2017-163055"/>
    <x v="101"/>
    <x v="1"/>
    <x v="103"/>
    <s v="Detroit"/>
    <x v="12"/>
    <x v="2"/>
    <x v="0"/>
    <x v="3"/>
    <s v="Bevis 36 x 72 Conference Tables"/>
    <n v="622.44999999999993"/>
    <n v="5"/>
    <n v="0"/>
    <n v="136.93899999999999"/>
  </r>
  <r>
    <n v="228"/>
    <s v="CA-2017-163055"/>
    <x v="101"/>
    <x v="1"/>
    <x v="103"/>
    <s v="Detroit"/>
    <x v="12"/>
    <x v="2"/>
    <x v="1"/>
    <x v="4"/>
    <s v="Rogers Deluxe File Chest"/>
    <n v="21.98"/>
    <n v="1"/>
    <n v="0"/>
    <n v="0.21979999999999933"/>
  </r>
  <r>
    <n v="229"/>
    <s v="US-2017-145436"/>
    <x v="102"/>
    <x v="1"/>
    <x v="104"/>
    <s v="Columbia"/>
    <x v="18"/>
    <x v="0"/>
    <x v="0"/>
    <x v="1"/>
    <s v="Global Low Back Tilter Chair"/>
    <n v="161.56800000000001"/>
    <n v="2"/>
    <n v="0.2"/>
    <n v="-28.274400000000021"/>
  </r>
  <r>
    <n v="230"/>
    <s v="US-2017-145436"/>
    <x v="102"/>
    <x v="1"/>
    <x v="104"/>
    <s v="Columbia"/>
    <x v="18"/>
    <x v="0"/>
    <x v="0"/>
    <x v="1"/>
    <s v="Global Push Button Manager's Chair, Indigo"/>
    <n v="389.69600000000003"/>
    <n v="8"/>
    <n v="0.2"/>
    <n v="43.840799999999973"/>
  </r>
  <r>
    <n v="231"/>
    <s v="US-2016-156216"/>
    <x v="103"/>
    <x v="1"/>
    <x v="105"/>
    <s v="Charlotte"/>
    <x v="3"/>
    <x v="0"/>
    <x v="1"/>
    <x v="8"/>
    <s v="GBC Instant Index System for Binding Systems"/>
    <n v="18.648000000000003"/>
    <n v="7"/>
    <n v="0.7"/>
    <n v="-12.431999999999999"/>
  </r>
  <r>
    <n v="232"/>
    <s v="US-2019-100930"/>
    <x v="104"/>
    <x v="1"/>
    <x v="37"/>
    <s v="Tampa"/>
    <x v="2"/>
    <x v="0"/>
    <x v="0"/>
    <x v="3"/>
    <s v="Bush Advantage Collection Round Conference Table"/>
    <n v="233.86"/>
    <n v="2"/>
    <n v="0.45"/>
    <n v="-102.04800000000003"/>
  </r>
  <r>
    <n v="233"/>
    <s v="US-2019-100930"/>
    <x v="104"/>
    <x v="1"/>
    <x v="37"/>
    <s v="Tampa"/>
    <x v="2"/>
    <x v="0"/>
    <x v="0"/>
    <x v="3"/>
    <s v="Bretford Rectangular Conference Table Tops"/>
    <n v="620.61450000000013"/>
    <n v="3"/>
    <n v="0.45"/>
    <n v="-248.24579999999992"/>
  </r>
  <r>
    <n v="234"/>
    <s v="US-2019-100930"/>
    <x v="104"/>
    <x v="1"/>
    <x v="37"/>
    <s v="Tampa"/>
    <x v="2"/>
    <x v="0"/>
    <x v="1"/>
    <x v="8"/>
    <s v="GBC Instant Index System for Binding Systems"/>
    <n v="5.3280000000000012"/>
    <n v="2"/>
    <n v="0.7"/>
    <n v="-3.5519999999999996"/>
  </r>
  <r>
    <n v="235"/>
    <s v="US-2019-100930"/>
    <x v="104"/>
    <x v="1"/>
    <x v="37"/>
    <s v="Tampa"/>
    <x v="2"/>
    <x v="0"/>
    <x v="0"/>
    <x v="5"/>
    <s v="Tenex Contemporary Contur Chairmats for Low and Medium Pile Carpet, Computer, 39&quot; x 49&quot;"/>
    <n v="258.072"/>
    <n v="3"/>
    <n v="0.2"/>
    <n v="0"/>
  </r>
  <r>
    <n v="236"/>
    <s v="US-2019-100930"/>
    <x v="104"/>
    <x v="1"/>
    <x v="37"/>
    <s v="Tampa"/>
    <x v="2"/>
    <x v="0"/>
    <x v="2"/>
    <x v="11"/>
    <s v="Logitech P710e Mobile Speakerphone"/>
    <n v="617.97600000000011"/>
    <n v="3"/>
    <n v="0.2"/>
    <n v="-7.724700000000098"/>
  </r>
  <r>
    <n v="237"/>
    <s v="CA-2019-160514"/>
    <x v="105"/>
    <x v="1"/>
    <x v="106"/>
    <s v="Santa Clara"/>
    <x v="1"/>
    <x v="1"/>
    <x v="1"/>
    <x v="10"/>
    <s v="Xerox 4200 Series MultiUse Premium Copy Paper (20Lb. and 84 Bright)"/>
    <n v="10.56"/>
    <n v="2"/>
    <n v="0"/>
    <n v="4.7519999999999998"/>
  </r>
  <r>
    <n v="238"/>
    <s v="CA-2018-157749"/>
    <x v="30"/>
    <x v="0"/>
    <x v="107"/>
    <s v="Chicago"/>
    <x v="10"/>
    <x v="2"/>
    <x v="1"/>
    <x v="10"/>
    <s v="Xerox 1957"/>
    <n v="25.920000000000005"/>
    <n v="5"/>
    <n v="0.2"/>
    <n v="9.3960000000000008"/>
  </r>
  <r>
    <n v="239"/>
    <s v="CA-2018-157749"/>
    <x v="30"/>
    <x v="0"/>
    <x v="107"/>
    <s v="Chicago"/>
    <x v="10"/>
    <x v="2"/>
    <x v="0"/>
    <x v="5"/>
    <s v="Luxo Professional Fluorescent Magnifier Lamp with Clamp-Mount Base"/>
    <n v="419.68000000000006"/>
    <n v="5"/>
    <n v="0.6"/>
    <n v="-356.72799999999995"/>
  </r>
  <r>
    <n v="240"/>
    <s v="CA-2018-157749"/>
    <x v="30"/>
    <x v="0"/>
    <x v="107"/>
    <s v="Chicago"/>
    <x v="10"/>
    <x v="2"/>
    <x v="0"/>
    <x v="5"/>
    <s v="Staple-based wall hangings"/>
    <n v="11.688000000000001"/>
    <n v="3"/>
    <n v="0.6"/>
    <n v="-4.6751999999999985"/>
  </r>
  <r>
    <n v="241"/>
    <s v="CA-2018-157749"/>
    <x v="30"/>
    <x v="0"/>
    <x v="107"/>
    <s v="Chicago"/>
    <x v="10"/>
    <x v="2"/>
    <x v="2"/>
    <x v="7"/>
    <s v="PureGear Roll-On Screen Protector"/>
    <n v="31.983999999999998"/>
    <n v="2"/>
    <n v="0.2"/>
    <n v="11.194399999999998"/>
  </r>
  <r>
    <n v="242"/>
    <s v="CA-2018-157749"/>
    <x v="30"/>
    <x v="0"/>
    <x v="107"/>
    <s v="Chicago"/>
    <x v="10"/>
    <x v="2"/>
    <x v="0"/>
    <x v="3"/>
    <s v="KI Conference Tables"/>
    <n v="177.22499999999999"/>
    <n v="5"/>
    <n v="0.5"/>
    <n v="-120.51299999999998"/>
  </r>
  <r>
    <n v="243"/>
    <s v="CA-2018-157749"/>
    <x v="30"/>
    <x v="0"/>
    <x v="107"/>
    <s v="Chicago"/>
    <x v="10"/>
    <x v="2"/>
    <x v="0"/>
    <x v="5"/>
    <s v="Eldon 100 Class Desk Accessories"/>
    <n v="4.0440000000000005"/>
    <n v="3"/>
    <n v="0.6"/>
    <n v="-2.8307999999999995"/>
  </r>
  <r>
    <n v="244"/>
    <s v="CA-2018-157749"/>
    <x v="30"/>
    <x v="0"/>
    <x v="107"/>
    <s v="Chicago"/>
    <x v="10"/>
    <x v="2"/>
    <x v="1"/>
    <x v="6"/>
    <s v="Binney &amp; Smith Crayola Metallic Colored Pencils, 8-Color Set"/>
    <n v="7.4080000000000004"/>
    <n v="2"/>
    <n v="0.2"/>
    <n v="1.2037999999999995"/>
  </r>
  <r>
    <n v="245"/>
    <s v="CA-2016-131926"/>
    <x v="106"/>
    <x v="0"/>
    <x v="108"/>
    <s v="Lakeville"/>
    <x v="11"/>
    <x v="2"/>
    <x v="0"/>
    <x v="1"/>
    <s v="Global Deluxe High-Back Manager's Chair"/>
    <n v="2001.8600000000001"/>
    <n v="7"/>
    <n v="0"/>
    <n v="580.53939999999989"/>
  </r>
  <r>
    <n v="246"/>
    <s v="CA-2016-131926"/>
    <x v="106"/>
    <x v="0"/>
    <x v="108"/>
    <s v="Lakeville"/>
    <x v="11"/>
    <x v="2"/>
    <x v="1"/>
    <x v="4"/>
    <s v="Safco Steel Mobile File Cart"/>
    <n v="166.72"/>
    <n v="2"/>
    <n v="0"/>
    <n v="41.680000000000007"/>
  </r>
  <r>
    <n v="247"/>
    <s v="CA-2016-131926"/>
    <x v="106"/>
    <x v="0"/>
    <x v="108"/>
    <s v="Lakeville"/>
    <x v="11"/>
    <x v="2"/>
    <x v="1"/>
    <x v="10"/>
    <s v="Adams Telephone Message Book w/Frequently-Called Numbers Space, 400 Messages per Book"/>
    <n v="47.88"/>
    <n v="6"/>
    <n v="0"/>
    <n v="23.94"/>
  </r>
  <r>
    <n v="248"/>
    <s v="CA-2016-131926"/>
    <x v="106"/>
    <x v="0"/>
    <x v="108"/>
    <s v="Lakeville"/>
    <x v="11"/>
    <x v="2"/>
    <x v="1"/>
    <x v="9"/>
    <s v="Honeywell Enviracaire Portable HEPA Air Cleaner for 17' x 22' Room"/>
    <n v="1503.25"/>
    <n v="5"/>
    <n v="0"/>
    <n v="496.07249999999993"/>
  </r>
  <r>
    <n v="249"/>
    <s v="CA-2016-131926"/>
    <x v="106"/>
    <x v="0"/>
    <x v="108"/>
    <s v="Lakeville"/>
    <x v="11"/>
    <x v="2"/>
    <x v="1"/>
    <x v="10"/>
    <s v="Xerox 205"/>
    <n v="25.92"/>
    <n v="4"/>
    <n v="0"/>
    <n v="12.441600000000001"/>
  </r>
  <r>
    <n v="250"/>
    <s v="CA-2018-154739"/>
    <x v="107"/>
    <x v="0"/>
    <x v="109"/>
    <s v="San Francisco"/>
    <x v="1"/>
    <x v="1"/>
    <x v="0"/>
    <x v="1"/>
    <s v="Global Leather Highback Executive Chair with Pneumatic Height Adjustment, Black"/>
    <n v="321.56799999999998"/>
    <n v="2"/>
    <n v="0.2"/>
    <n v="28.137200000000007"/>
  </r>
  <r>
    <n v="251"/>
    <s v="CA-2018-145625"/>
    <x v="108"/>
    <x v="1"/>
    <x v="110"/>
    <s v="San Diego"/>
    <x v="1"/>
    <x v="1"/>
    <x v="1"/>
    <x v="10"/>
    <s v="Wirebound Message Books, Two 4 1/4&quot; x 5&quot; Forms per Page"/>
    <n v="7.61"/>
    <n v="1"/>
    <n v="0"/>
    <n v="3.5766999999999998"/>
  </r>
  <r>
    <n v="252"/>
    <s v="CA-2018-145625"/>
    <x v="108"/>
    <x v="1"/>
    <x v="110"/>
    <s v="San Diego"/>
    <x v="1"/>
    <x v="1"/>
    <x v="2"/>
    <x v="11"/>
    <s v="Logitech P710e Mobile Speakerphone"/>
    <n v="3347.37"/>
    <n v="13"/>
    <n v="0"/>
    <n v="636.0002999999997"/>
  </r>
  <r>
    <n v="253"/>
    <s v="CA-2018-146941"/>
    <x v="107"/>
    <x v="2"/>
    <x v="111"/>
    <s v="New York City"/>
    <x v="15"/>
    <x v="3"/>
    <x v="1"/>
    <x v="4"/>
    <s v="Fellowes Personal Hanging Folder Files, Navy"/>
    <n v="80.58"/>
    <n v="6"/>
    <n v="0"/>
    <n v="22.562400000000004"/>
  </r>
  <r>
    <n v="254"/>
    <s v="CA-2018-146941"/>
    <x v="107"/>
    <x v="2"/>
    <x v="111"/>
    <s v="New York City"/>
    <x v="15"/>
    <x v="3"/>
    <x v="1"/>
    <x v="12"/>
    <s v="Tyvek Side-Opening Peel &amp; Seel Expanding Envelopes"/>
    <n v="361.92"/>
    <n v="4"/>
    <n v="0"/>
    <n v="162.864"/>
  </r>
  <r>
    <n v="255"/>
    <s v="US-2017-159982"/>
    <x v="109"/>
    <x v="1"/>
    <x v="112"/>
    <s v="Chicago"/>
    <x v="10"/>
    <x v="2"/>
    <x v="0"/>
    <x v="5"/>
    <s v="Eldon 100 Class Desk Accessories"/>
    <n v="12.132000000000001"/>
    <n v="9"/>
    <n v="0.6"/>
    <n v="-8.4923999999999982"/>
  </r>
  <r>
    <n v="256"/>
    <s v="US-2017-159982"/>
    <x v="109"/>
    <x v="1"/>
    <x v="112"/>
    <s v="Chicago"/>
    <x v="10"/>
    <x v="2"/>
    <x v="1"/>
    <x v="4"/>
    <s v="Belkin 19&quot; Vented Equipment Shelf, Black"/>
    <n v="82.367999999999995"/>
    <n v="2"/>
    <n v="0.2"/>
    <n v="-19.562399999999997"/>
  </r>
  <r>
    <n v="257"/>
    <s v="US-2017-159982"/>
    <x v="109"/>
    <x v="1"/>
    <x v="112"/>
    <s v="Chicago"/>
    <x v="10"/>
    <x v="2"/>
    <x v="1"/>
    <x v="4"/>
    <s v="Tenex Personal Project File with Scoop Front Design, Black"/>
    <n v="53.92"/>
    <n v="5"/>
    <n v="0.2"/>
    <n v="4.0439999999999969"/>
  </r>
  <r>
    <n v="258"/>
    <s v="US-2017-159982"/>
    <x v="109"/>
    <x v="1"/>
    <x v="112"/>
    <s v="Chicago"/>
    <x v="10"/>
    <x v="2"/>
    <x v="2"/>
    <x v="7"/>
    <s v="Logitech Mobile Speakerphone P710e - speaker phone"/>
    <n v="647.904"/>
    <n v="6"/>
    <n v="0.2"/>
    <n v="56.691599999999966"/>
  </r>
  <r>
    <n v="259"/>
    <s v="CA-2019-163139"/>
    <x v="96"/>
    <x v="0"/>
    <x v="113"/>
    <s v="New York City"/>
    <x v="15"/>
    <x v="3"/>
    <x v="2"/>
    <x v="11"/>
    <s v="Sabrent 4-Port USB 2.0 Hub"/>
    <n v="20.37"/>
    <n v="3"/>
    <n v="0"/>
    <n v="6.9258000000000006"/>
  </r>
  <r>
    <n v="260"/>
    <s v="CA-2019-163139"/>
    <x v="96"/>
    <x v="0"/>
    <x v="113"/>
    <s v="New York City"/>
    <x v="15"/>
    <x v="3"/>
    <x v="1"/>
    <x v="4"/>
    <s v="Safco Industrial Shelving"/>
    <n v="221.54999999999998"/>
    <n v="3"/>
    <n v="0"/>
    <n v="6.6465000000000174"/>
  </r>
  <r>
    <n v="261"/>
    <s v="CA-2019-163139"/>
    <x v="96"/>
    <x v="0"/>
    <x v="113"/>
    <s v="New York City"/>
    <x v="15"/>
    <x v="3"/>
    <x v="1"/>
    <x v="8"/>
    <s v="Acco 3-Hole Punch"/>
    <n v="17.52"/>
    <n v="5"/>
    <n v="0.2"/>
    <n v="6.1319999999999988"/>
  </r>
  <r>
    <n v="262"/>
    <s v="US-2019-155299"/>
    <x v="110"/>
    <x v="1"/>
    <x v="114"/>
    <s v="Pasadena"/>
    <x v="5"/>
    <x v="2"/>
    <x v="1"/>
    <x v="9"/>
    <s v="Eureka Disposable Bags for Sanitaire Vibra Groomer I Upright Vac"/>
    <n v="1.6239999999999994"/>
    <n v="2"/>
    <n v="0.8"/>
    <n v="-4.4660000000000002"/>
  </r>
  <r>
    <n v="263"/>
    <s v="US-2016-106992"/>
    <x v="111"/>
    <x v="0"/>
    <x v="115"/>
    <s v="Houston"/>
    <x v="5"/>
    <x v="2"/>
    <x v="2"/>
    <x v="15"/>
    <s v="Lexmark MX611dhe Monochrome Laser Printer"/>
    <n v="3059.982"/>
    <n v="3"/>
    <n v="0.4"/>
    <n v="-509.99700000000075"/>
  </r>
  <r>
    <n v="264"/>
    <s v="US-2016-106992"/>
    <x v="111"/>
    <x v="0"/>
    <x v="115"/>
    <s v="Houston"/>
    <x v="5"/>
    <x v="2"/>
    <x v="2"/>
    <x v="15"/>
    <s v="Xerox WorkCentre 6505DN Laser Multifunction Printer"/>
    <n v="2519.9579999999996"/>
    <n v="7"/>
    <n v="0.4"/>
    <n v="-251.99579999999992"/>
  </r>
  <r>
    <n v="265"/>
    <s v="CA-2018-125318"/>
    <x v="112"/>
    <x v="1"/>
    <x v="116"/>
    <s v="Chicago"/>
    <x v="10"/>
    <x v="2"/>
    <x v="2"/>
    <x v="7"/>
    <s v="Cisco Small Business SPA 502G VoIP phone"/>
    <n v="328.22399999999999"/>
    <n v="4"/>
    <n v="0.2"/>
    <n v="28.7196"/>
  </r>
  <r>
    <n v="266"/>
    <s v="CA-2017-155040"/>
    <x v="113"/>
    <x v="1"/>
    <x v="117"/>
    <s v="Brentwood"/>
    <x v="1"/>
    <x v="1"/>
    <x v="2"/>
    <x v="11"/>
    <s v="Microsoft Sculpt Comfort Mouse"/>
    <n v="79.900000000000006"/>
    <n v="2"/>
    <n v="0"/>
    <n v="35.156000000000006"/>
  </r>
  <r>
    <n v="267"/>
    <s v="CA-2019-136826"/>
    <x v="114"/>
    <x v="1"/>
    <x v="118"/>
    <s v="Chapel Hill"/>
    <x v="3"/>
    <x v="0"/>
    <x v="1"/>
    <x v="6"/>
    <s v="Quartet Omega Colored Chalk, 12/Pack"/>
    <n v="14.015999999999998"/>
    <n v="3"/>
    <n v="0.2"/>
    <n v="4.7303999999999995"/>
  </r>
  <r>
    <n v="268"/>
    <s v="CA-2018-111010"/>
    <x v="115"/>
    <x v="1"/>
    <x v="38"/>
    <s v="Morristown"/>
    <x v="30"/>
    <x v="3"/>
    <x v="1"/>
    <x v="13"/>
    <s v="Bagged Rubber Bands"/>
    <n v="7.5600000000000005"/>
    <n v="6"/>
    <n v="0"/>
    <n v="0.3024"/>
  </r>
  <r>
    <n v="269"/>
    <s v="US-2019-145366"/>
    <x v="34"/>
    <x v="1"/>
    <x v="119"/>
    <s v="Cincinnati"/>
    <x v="24"/>
    <x v="3"/>
    <x v="1"/>
    <x v="4"/>
    <s v="Safco Commercial Shelving"/>
    <n v="37.207999999999998"/>
    <n v="1"/>
    <n v="0.2"/>
    <n v="-7.4416000000000011"/>
  </r>
  <r>
    <n v="270"/>
    <s v="US-2019-145366"/>
    <x v="34"/>
    <x v="1"/>
    <x v="119"/>
    <s v="Cincinnati"/>
    <x v="24"/>
    <x v="3"/>
    <x v="1"/>
    <x v="12"/>
    <s v="Recycled Interoffice Envelopes with String and Button Closure, 10 x 13"/>
    <n v="57.576000000000001"/>
    <n v="3"/>
    <n v="0.2"/>
    <n v="21.591000000000001"/>
  </r>
  <r>
    <n v="271"/>
    <s v="CA-2019-163979"/>
    <x v="116"/>
    <x v="0"/>
    <x v="120"/>
    <s v="San Francisco"/>
    <x v="1"/>
    <x v="1"/>
    <x v="1"/>
    <x v="4"/>
    <s v="Adjustable Depth Letter/Legal Cart"/>
    <n v="725.84"/>
    <n v="4"/>
    <n v="0"/>
    <n v="210.4935999999999"/>
  </r>
  <r>
    <n v="272"/>
    <s v="CA-2017-155334"/>
    <x v="117"/>
    <x v="2"/>
    <x v="66"/>
    <s v="San Francisco"/>
    <x v="1"/>
    <x v="1"/>
    <x v="2"/>
    <x v="11"/>
    <s v="Logitech 910-002974 M325 Wireless Mouse for Web Scrolling"/>
    <n v="209.92999999999998"/>
    <n v="7"/>
    <n v="0"/>
    <n v="92.369200000000021"/>
  </r>
  <r>
    <n v="273"/>
    <s v="CA-2017-155334"/>
    <x v="117"/>
    <x v="2"/>
    <x v="66"/>
    <s v="San Francisco"/>
    <x v="1"/>
    <x v="1"/>
    <x v="0"/>
    <x v="5"/>
    <s v="Regeneration Desk Collection"/>
    <n v="5.28"/>
    <n v="3"/>
    <n v="0"/>
    <n v="2.3232000000000004"/>
  </r>
  <r>
    <n v="274"/>
    <s v="CA-2017-155334"/>
    <x v="117"/>
    <x v="2"/>
    <x v="66"/>
    <s v="San Francisco"/>
    <x v="1"/>
    <x v="1"/>
    <x v="1"/>
    <x v="8"/>
    <s v="Presstex Flexible Ring Binders"/>
    <n v="10.92"/>
    <n v="3"/>
    <n v="0.2"/>
    <n v="4.0949999999999989"/>
  </r>
  <r>
    <n v="275"/>
    <s v="CA-2019-118136"/>
    <x v="118"/>
    <x v="2"/>
    <x v="121"/>
    <s v="Inglewood"/>
    <x v="1"/>
    <x v="1"/>
    <x v="1"/>
    <x v="10"/>
    <s v="Ampad Gold Fibre Wirebound Steno Books, 6&quot; x 9&quot;, Gregg Ruled"/>
    <n v="8.82"/>
    <n v="2"/>
    <n v="0"/>
    <n v="4.0571999999999999"/>
  </r>
  <r>
    <n v="276"/>
    <s v="CA-2019-118136"/>
    <x v="118"/>
    <x v="2"/>
    <x v="121"/>
    <s v="Inglewood"/>
    <x v="1"/>
    <x v="1"/>
    <x v="1"/>
    <x v="6"/>
    <s v="Newell 330"/>
    <n v="5.98"/>
    <n v="1"/>
    <n v="0"/>
    <n v="1.5548000000000002"/>
  </r>
  <r>
    <n v="277"/>
    <s v="CA-2019-132976"/>
    <x v="119"/>
    <x v="1"/>
    <x v="122"/>
    <s v="Philadelphia"/>
    <x v="9"/>
    <x v="3"/>
    <x v="1"/>
    <x v="10"/>
    <s v="Post-it “Important Message” Note Pad, Neon Colors, 50 Sheets/Pad"/>
    <n v="11.648000000000001"/>
    <n v="2"/>
    <n v="0.2"/>
    <n v="4.0768000000000004"/>
  </r>
  <r>
    <n v="278"/>
    <s v="CA-2019-132976"/>
    <x v="119"/>
    <x v="1"/>
    <x v="122"/>
    <s v="Philadelphia"/>
    <x v="9"/>
    <x v="3"/>
    <x v="1"/>
    <x v="10"/>
    <s v="Adams Write n' Stick Phone Message Book, 11&quot; X 5 1/4&quot;, 200 Messages"/>
    <n v="18.175999999999998"/>
    <n v="4"/>
    <n v="0.2"/>
    <n v="5.9071999999999987"/>
  </r>
  <r>
    <n v="279"/>
    <s v="CA-2019-132976"/>
    <x v="119"/>
    <x v="1"/>
    <x v="122"/>
    <s v="Philadelphia"/>
    <x v="9"/>
    <x v="3"/>
    <x v="1"/>
    <x v="4"/>
    <s v="Eldon Simplefile Box Office"/>
    <n v="59.712000000000003"/>
    <n v="6"/>
    <n v="0.2"/>
    <n v="5.9711999999999996"/>
  </r>
  <r>
    <n v="280"/>
    <s v="CA-2019-132976"/>
    <x v="119"/>
    <x v="1"/>
    <x v="122"/>
    <s v="Philadelphia"/>
    <x v="9"/>
    <x v="3"/>
    <x v="1"/>
    <x v="2"/>
    <s v="Avery 489"/>
    <n v="24.839999999999996"/>
    <n v="3"/>
    <n v="0.2"/>
    <n v="8.6940000000000008"/>
  </r>
  <r>
    <n v="281"/>
    <s v="US-2017-161991"/>
    <x v="120"/>
    <x v="0"/>
    <x v="56"/>
    <s v="Houston"/>
    <x v="5"/>
    <x v="2"/>
    <x v="1"/>
    <x v="8"/>
    <s v="Round Ring Binders"/>
    <n v="2.0799999999999996"/>
    <n v="5"/>
    <n v="0.8"/>
    <n v="-3.4320000000000004"/>
  </r>
  <r>
    <n v="282"/>
    <s v="US-2017-161991"/>
    <x v="120"/>
    <x v="0"/>
    <x v="56"/>
    <s v="Houston"/>
    <x v="5"/>
    <x v="2"/>
    <x v="2"/>
    <x v="7"/>
    <s v="Bose SoundLink Bluetooth Speaker"/>
    <n v="1114.4000000000001"/>
    <n v="7"/>
    <n v="0.2"/>
    <n v="376.11"/>
  </r>
  <r>
    <n v="283"/>
    <s v="CA-2017-130890"/>
    <x v="121"/>
    <x v="1"/>
    <x v="123"/>
    <s v="Los Angeles"/>
    <x v="1"/>
    <x v="1"/>
    <x v="0"/>
    <x v="3"/>
    <s v="Bevis Round Bullnose 29&quot; High Table Top"/>
    <n v="1038.8399999999999"/>
    <n v="5"/>
    <n v="0.2"/>
    <n v="51.942000000000007"/>
  </r>
  <r>
    <n v="284"/>
    <s v="CA-2017-130883"/>
    <x v="120"/>
    <x v="1"/>
    <x v="14"/>
    <s v="Portland"/>
    <x v="21"/>
    <x v="1"/>
    <x v="1"/>
    <x v="10"/>
    <s v="Easy-staple paper"/>
    <n v="141.76"/>
    <n v="5"/>
    <n v="0.2"/>
    <n v="47.843999999999994"/>
  </r>
  <r>
    <n v="285"/>
    <s v="CA-2017-130883"/>
    <x v="120"/>
    <x v="1"/>
    <x v="14"/>
    <s v="Portland"/>
    <x v="21"/>
    <x v="1"/>
    <x v="2"/>
    <x v="11"/>
    <s v="Microsoft Arc Touch Mouse"/>
    <n v="239.80000000000004"/>
    <n v="5"/>
    <n v="0.2"/>
    <n v="47.959999999999987"/>
  </r>
  <r>
    <n v="286"/>
    <s v="CA-2017-130883"/>
    <x v="120"/>
    <x v="1"/>
    <x v="14"/>
    <s v="Portland"/>
    <x v="21"/>
    <x v="1"/>
    <x v="1"/>
    <x v="10"/>
    <s v="Xerox 216"/>
    <n v="31.104000000000006"/>
    <n v="6"/>
    <n v="0.2"/>
    <n v="10.8864"/>
  </r>
  <r>
    <n v="287"/>
    <s v="CA-2018-112697"/>
    <x v="122"/>
    <x v="0"/>
    <x v="124"/>
    <s v="Tamarac"/>
    <x v="2"/>
    <x v="0"/>
    <x v="1"/>
    <x v="8"/>
    <s v="GBC VeloBinder Electric Binding Machine"/>
    <n v="254.05800000000002"/>
    <n v="7"/>
    <n v="0.7"/>
    <n v="-169.3719999999999"/>
  </r>
  <r>
    <n v="288"/>
    <s v="CA-2018-112697"/>
    <x v="122"/>
    <x v="0"/>
    <x v="124"/>
    <s v="Tamarac"/>
    <x v="2"/>
    <x v="0"/>
    <x v="1"/>
    <x v="9"/>
    <s v="Acco 7-Outlet Masterpiece Power Center, Wihtout Fax/Phone Line Protection"/>
    <n v="194.52800000000002"/>
    <n v="2"/>
    <n v="0.2"/>
    <n v="24.315999999999974"/>
  </r>
  <r>
    <n v="289"/>
    <s v="CA-2018-112697"/>
    <x v="122"/>
    <x v="0"/>
    <x v="124"/>
    <s v="Tamarac"/>
    <x v="2"/>
    <x v="0"/>
    <x v="1"/>
    <x v="14"/>
    <s v="Premier Automatic Letter Opener"/>
    <n v="961.48000000000013"/>
    <n v="5"/>
    <n v="0.2"/>
    <n v="-204.31449999999995"/>
  </r>
  <r>
    <n v="290"/>
    <s v="CA-2018-110772"/>
    <x v="73"/>
    <x v="0"/>
    <x v="125"/>
    <s v="Columbus"/>
    <x v="24"/>
    <x v="3"/>
    <x v="1"/>
    <x v="13"/>
    <s v="Advantus SlideClip Paper Clips"/>
    <n v="19.096"/>
    <n v="7"/>
    <n v="0.2"/>
    <n v="6.6835999999999993"/>
  </r>
  <r>
    <n v="291"/>
    <s v="CA-2018-110772"/>
    <x v="73"/>
    <x v="0"/>
    <x v="125"/>
    <s v="Columbus"/>
    <x v="24"/>
    <x v="3"/>
    <x v="1"/>
    <x v="2"/>
    <s v="Avery 512"/>
    <n v="18.496000000000002"/>
    <n v="8"/>
    <n v="0.2"/>
    <n v="6.2423999999999999"/>
  </r>
  <r>
    <n v="292"/>
    <s v="CA-2018-110772"/>
    <x v="73"/>
    <x v="0"/>
    <x v="125"/>
    <s v="Columbus"/>
    <x v="24"/>
    <x v="3"/>
    <x v="2"/>
    <x v="11"/>
    <s v="Logitech Wireless Gaming Headset G930"/>
    <n v="255.98400000000004"/>
    <n v="2"/>
    <n v="0.2"/>
    <n v="54.396600000000007"/>
  </r>
  <r>
    <n v="293"/>
    <s v="CA-2018-110772"/>
    <x v="73"/>
    <x v="0"/>
    <x v="125"/>
    <s v="Columbus"/>
    <x v="24"/>
    <x v="3"/>
    <x v="0"/>
    <x v="0"/>
    <s v="Bush Westfield Collection Bookcases, Medium Cherry Finish"/>
    <n v="86.97"/>
    <n v="3"/>
    <n v="0.5"/>
    <n v="-48.703199999999995"/>
  </r>
  <r>
    <n v="294"/>
    <s v="CA-2016-111451"/>
    <x v="58"/>
    <x v="2"/>
    <x v="126"/>
    <s v="Colorado Springs"/>
    <x v="22"/>
    <x v="1"/>
    <x v="0"/>
    <x v="5"/>
    <s v="Howard Miller 13&quot; Diameter Goldtone Round Wall Clock"/>
    <n v="300.416"/>
    <n v="8"/>
    <n v="0.2"/>
    <n v="78.859200000000001"/>
  </r>
  <r>
    <n v="295"/>
    <s v="CA-2016-111451"/>
    <x v="58"/>
    <x v="2"/>
    <x v="126"/>
    <s v="Colorado Springs"/>
    <x v="22"/>
    <x v="1"/>
    <x v="0"/>
    <x v="1"/>
    <s v="Global Deluxe Office Fabric Chairs"/>
    <n v="230.35200000000003"/>
    <n v="3"/>
    <n v="0.2"/>
    <n v="20.155800000000013"/>
  </r>
  <r>
    <n v="296"/>
    <s v="CA-2016-111451"/>
    <x v="58"/>
    <x v="2"/>
    <x v="126"/>
    <s v="Colorado Springs"/>
    <x v="22"/>
    <x v="1"/>
    <x v="0"/>
    <x v="5"/>
    <s v="Eldon ClusterMat Chair Mat with Cordless Antistatic Protection"/>
    <n v="218.35200000000003"/>
    <n v="3"/>
    <n v="0.2"/>
    <n v="-24.564599999999999"/>
  </r>
  <r>
    <n v="297"/>
    <s v="CA-2016-111451"/>
    <x v="58"/>
    <x v="2"/>
    <x v="126"/>
    <s v="Colorado Springs"/>
    <x v="22"/>
    <x v="1"/>
    <x v="1"/>
    <x v="8"/>
    <s v="Ibico Laser Imprintable Binding System Covers"/>
    <n v="78.600000000000009"/>
    <n v="5"/>
    <n v="0.7"/>
    <n v="-62.88000000000001"/>
  </r>
  <r>
    <n v="298"/>
    <s v="CA-2016-111451"/>
    <x v="58"/>
    <x v="2"/>
    <x v="126"/>
    <s v="Colorado Springs"/>
    <x v="22"/>
    <x v="1"/>
    <x v="1"/>
    <x v="13"/>
    <s v="Vinyl Coated Wire Paper Clips in Organizer Box, 800/Box"/>
    <n v="27.552000000000003"/>
    <n v="3"/>
    <n v="0.2"/>
    <n v="9.2987999999999964"/>
  </r>
  <r>
    <n v="299"/>
    <s v="CA-2018-142545"/>
    <x v="99"/>
    <x v="1"/>
    <x v="63"/>
    <s v="Belleville"/>
    <x v="30"/>
    <x v="3"/>
    <x v="1"/>
    <x v="10"/>
    <s v="Xerox 223"/>
    <n v="32.400000000000006"/>
    <n v="5"/>
    <n v="0"/>
    <n v="15.552000000000001"/>
  </r>
  <r>
    <n v="300"/>
    <s v="CA-2018-142545"/>
    <x v="99"/>
    <x v="1"/>
    <x v="63"/>
    <s v="Belleville"/>
    <x v="30"/>
    <x v="3"/>
    <x v="1"/>
    <x v="4"/>
    <s v="Tennsco Stur-D-Stor Boltless Shelving, 5 Shelves, 24&quot; Deep, Sand"/>
    <n v="1082.48"/>
    <n v="8"/>
    <n v="0"/>
    <n v="10.824800000000096"/>
  </r>
  <r>
    <n v="301"/>
    <s v="CA-2018-142545"/>
    <x v="99"/>
    <x v="1"/>
    <x v="63"/>
    <s v="Belleville"/>
    <x v="30"/>
    <x v="3"/>
    <x v="1"/>
    <x v="10"/>
    <s v="Xerox 1939"/>
    <n v="56.91"/>
    <n v="3"/>
    <n v="0"/>
    <n v="27.316799999999997"/>
  </r>
  <r>
    <n v="302"/>
    <s v="CA-2018-142545"/>
    <x v="99"/>
    <x v="1"/>
    <x v="63"/>
    <s v="Belleville"/>
    <x v="30"/>
    <x v="3"/>
    <x v="0"/>
    <x v="5"/>
    <s v="Floodlight Indoor Halogen Bulbs, 1 Bulb per Pack, 60 Watts"/>
    <n v="77.599999999999994"/>
    <n v="4"/>
    <n v="0"/>
    <n v="38.023999999999994"/>
  </r>
  <r>
    <n v="303"/>
    <s v="CA-2018-142545"/>
    <x v="99"/>
    <x v="1"/>
    <x v="63"/>
    <s v="Belleville"/>
    <x v="30"/>
    <x v="3"/>
    <x v="1"/>
    <x v="8"/>
    <s v="Avery Premier Heavy-Duty Binder with Round Locking Rings"/>
    <n v="14.28"/>
    <n v="1"/>
    <n v="0"/>
    <n v="6.5687999999999995"/>
  </r>
  <r>
    <n v="304"/>
    <s v="US-2019-152380"/>
    <x v="123"/>
    <x v="1"/>
    <x v="101"/>
    <s v="Chicago"/>
    <x v="10"/>
    <x v="2"/>
    <x v="0"/>
    <x v="3"/>
    <s v="BPI Conference Tables"/>
    <n v="219.07500000000002"/>
    <n v="3"/>
    <n v="0.5"/>
    <n v="-131.44500000000005"/>
  </r>
  <r>
    <n v="305"/>
    <s v="CA-2017-144253"/>
    <x v="124"/>
    <x v="0"/>
    <x v="127"/>
    <s v="New York City"/>
    <x v="15"/>
    <x v="3"/>
    <x v="0"/>
    <x v="5"/>
    <s v="Electrix 20W Halogen Replacement Bulb for Zoom-In Desk Lamp"/>
    <n v="26.8"/>
    <n v="2"/>
    <n v="0"/>
    <n v="12.863999999999999"/>
  </r>
  <r>
    <n v="306"/>
    <s v="CA-2016-130960"/>
    <x v="125"/>
    <x v="1"/>
    <x v="33"/>
    <s v="Taylor"/>
    <x v="12"/>
    <x v="2"/>
    <x v="1"/>
    <x v="6"/>
    <s v="Newell 350"/>
    <n v="9.84"/>
    <n v="3"/>
    <n v="0"/>
    <n v="2.8535999999999988"/>
  </r>
  <r>
    <n v="307"/>
    <s v="CA-2016-111003"/>
    <x v="106"/>
    <x v="1"/>
    <x v="128"/>
    <s v="Lakewood"/>
    <x v="30"/>
    <x v="3"/>
    <x v="1"/>
    <x v="8"/>
    <s v="GBC Clear Cover, 8-1/2 x 11, unpunched, 25 covers per pack"/>
    <n v="45.480000000000004"/>
    <n v="3"/>
    <n v="0"/>
    <n v="20.9208"/>
  </r>
  <r>
    <n v="308"/>
    <s v="CA-2016-111003"/>
    <x v="106"/>
    <x v="1"/>
    <x v="128"/>
    <s v="Lakewood"/>
    <x v="30"/>
    <x v="3"/>
    <x v="1"/>
    <x v="6"/>
    <s v="Boston Heavy-Duty Trimline Electric Pencil Sharpeners"/>
    <n v="289.20000000000005"/>
    <n v="6"/>
    <n v="0"/>
    <n v="83.867999999999967"/>
  </r>
  <r>
    <n v="309"/>
    <s v="CA-2019-126774"/>
    <x v="4"/>
    <x v="2"/>
    <x v="129"/>
    <s v="Arlington"/>
    <x v="17"/>
    <x v="0"/>
    <x v="1"/>
    <x v="6"/>
    <s v="Faber Castell Col-Erase Pencils"/>
    <n v="4.8899999999999997"/>
    <n v="1"/>
    <n v="0"/>
    <n v="2.0049000000000001"/>
  </r>
  <r>
    <n v="310"/>
    <s v="CA-2018-142902"/>
    <x v="126"/>
    <x v="0"/>
    <x v="130"/>
    <s v="Arvada"/>
    <x v="22"/>
    <x v="1"/>
    <x v="0"/>
    <x v="5"/>
    <s v="C-Line Cubicle Keepers Polyproplyene Holder With Velcro Backings"/>
    <n v="15.136000000000003"/>
    <n v="4"/>
    <n v="0.2"/>
    <n v="3.5948000000000011"/>
  </r>
  <r>
    <n v="311"/>
    <s v="CA-2018-142902"/>
    <x v="126"/>
    <x v="0"/>
    <x v="130"/>
    <s v="Arvada"/>
    <x v="22"/>
    <x v="1"/>
    <x v="0"/>
    <x v="1"/>
    <s v="Hon 4070 Series Pagoda Armless Upholstered Stacking Chairs"/>
    <n v="466.76800000000003"/>
    <n v="2"/>
    <n v="0.2"/>
    <n v="52.511399999999981"/>
  </r>
  <r>
    <n v="312"/>
    <s v="CA-2018-142902"/>
    <x v="126"/>
    <x v="0"/>
    <x v="130"/>
    <s v="Arvada"/>
    <x v="22"/>
    <x v="1"/>
    <x v="0"/>
    <x v="5"/>
    <s v="Eldon Expressions Desk Accessory, Wood Photo Frame, Mahogany"/>
    <n v="15.231999999999999"/>
    <n v="1"/>
    <n v="0.2"/>
    <n v="1.7135999999999978"/>
  </r>
  <r>
    <n v="313"/>
    <s v="CA-2018-142902"/>
    <x v="126"/>
    <x v="0"/>
    <x v="130"/>
    <s v="Arvada"/>
    <x v="22"/>
    <x v="1"/>
    <x v="1"/>
    <x v="2"/>
    <s v="Avery 509"/>
    <n v="6.2640000000000002"/>
    <n v="3"/>
    <n v="0.2"/>
    <n v="2.0358000000000001"/>
  </r>
  <r>
    <n v="314"/>
    <s v="CA-2016-120887"/>
    <x v="127"/>
    <x v="1"/>
    <x v="131"/>
    <s v="Hackensack"/>
    <x v="30"/>
    <x v="3"/>
    <x v="0"/>
    <x v="5"/>
    <s v="Deflect-o SuperTray Unbreakable Stackable Tray, Letter, Black"/>
    <n v="87.539999999999992"/>
    <n v="3"/>
    <n v="0"/>
    <n v="37.642200000000003"/>
  </r>
  <r>
    <n v="315"/>
    <s v="CA-2016-167850"/>
    <x v="128"/>
    <x v="1"/>
    <x v="132"/>
    <s v="Saint Petersburg"/>
    <x v="2"/>
    <x v="0"/>
    <x v="2"/>
    <x v="7"/>
    <s v="AT&amp;T 1070 Corded Phone"/>
    <n v="178.38400000000001"/>
    <n v="2"/>
    <n v="0.2"/>
    <n v="22.297999999999973"/>
  </r>
  <r>
    <n v="316"/>
    <s v="CA-2016-167850"/>
    <x v="128"/>
    <x v="1"/>
    <x v="132"/>
    <s v="Saint Petersburg"/>
    <x v="2"/>
    <x v="0"/>
    <x v="1"/>
    <x v="10"/>
    <s v="Xerox 21"/>
    <n v="15.552000000000003"/>
    <n v="3"/>
    <n v="0.2"/>
    <n v="5.4432"/>
  </r>
  <r>
    <n v="317"/>
    <s v="CA-2016-164259"/>
    <x v="129"/>
    <x v="2"/>
    <x v="133"/>
    <s v="Philadelphia"/>
    <x v="9"/>
    <x v="3"/>
    <x v="1"/>
    <x v="6"/>
    <s v="Boston School Pro Electric Pencil Sharpener, 1670"/>
    <n v="99.13600000000001"/>
    <n v="4"/>
    <n v="0.2"/>
    <n v="8.674399999999995"/>
  </r>
  <r>
    <n v="318"/>
    <s v="CA-2016-164973"/>
    <x v="130"/>
    <x v="1"/>
    <x v="134"/>
    <s v="New York City"/>
    <x v="15"/>
    <x v="3"/>
    <x v="0"/>
    <x v="1"/>
    <s v="DMI Arturo Collection Mission-style Design Wood Chair"/>
    <n v="135.88200000000001"/>
    <n v="1"/>
    <n v="0.1"/>
    <n v="24.156800000000004"/>
  </r>
  <r>
    <n v="319"/>
    <s v="CA-2016-164973"/>
    <x v="130"/>
    <x v="1"/>
    <x v="134"/>
    <s v="New York City"/>
    <x v="15"/>
    <x v="3"/>
    <x v="2"/>
    <x v="15"/>
    <s v="Canon imageCLASS MF7460 Monochrome Digital Laser Multifunction Copier"/>
    <n v="3991.98"/>
    <n v="2"/>
    <n v="0"/>
    <n v="1995.99"/>
  </r>
  <r>
    <n v="320"/>
    <s v="CA-2016-164973"/>
    <x v="130"/>
    <x v="1"/>
    <x v="134"/>
    <s v="New York City"/>
    <x v="15"/>
    <x v="3"/>
    <x v="2"/>
    <x v="7"/>
    <s v="Panasonic Kx-TS550"/>
    <n v="275.94"/>
    <n v="6"/>
    <n v="0"/>
    <n v="80.022599999999997"/>
  </r>
  <r>
    <n v="321"/>
    <s v="CA-2016-164973"/>
    <x v="130"/>
    <x v="1"/>
    <x v="134"/>
    <s v="New York City"/>
    <x v="15"/>
    <x v="3"/>
    <x v="2"/>
    <x v="11"/>
    <s v="NETGEAR N750 Dual Band Wi-Fi Gigabit Router"/>
    <n v="360"/>
    <n v="4"/>
    <n v="0"/>
    <n v="129.6"/>
  </r>
  <r>
    <n v="322"/>
    <s v="CA-2016-164973"/>
    <x v="130"/>
    <x v="1"/>
    <x v="134"/>
    <s v="New York City"/>
    <x v="15"/>
    <x v="3"/>
    <x v="1"/>
    <x v="4"/>
    <s v="Trav-L-File Heavy-Duty Shuttle II, Black"/>
    <n v="43.57"/>
    <n v="1"/>
    <n v="0"/>
    <n v="13.070999999999998"/>
  </r>
  <r>
    <n v="323"/>
    <s v="CA-2016-156601"/>
    <x v="111"/>
    <x v="1"/>
    <x v="135"/>
    <s v="Long Beach"/>
    <x v="1"/>
    <x v="1"/>
    <x v="1"/>
    <x v="13"/>
    <s v="OIC Binder Clips"/>
    <n v="7.16"/>
    <n v="2"/>
    <n v="0"/>
    <n v="3.58"/>
  </r>
  <r>
    <n v="324"/>
    <s v="CA-2018-162138"/>
    <x v="131"/>
    <x v="1"/>
    <x v="136"/>
    <s v="Hesperia"/>
    <x v="1"/>
    <x v="1"/>
    <x v="1"/>
    <x v="8"/>
    <s v="Ibico Laser Imprintable Binding System Covers"/>
    <n v="251.52"/>
    <n v="6"/>
    <n v="0.2"/>
    <n v="81.744"/>
  </r>
  <r>
    <n v="325"/>
    <s v="CA-2018-162138"/>
    <x v="131"/>
    <x v="1"/>
    <x v="136"/>
    <s v="Hesperia"/>
    <x v="1"/>
    <x v="1"/>
    <x v="2"/>
    <x v="11"/>
    <s v="Logitech Wireless Headset h800"/>
    <n v="99.99"/>
    <n v="1"/>
    <n v="0"/>
    <n v="34.996499999999997"/>
  </r>
  <r>
    <n v="326"/>
    <s v="CA-2019-153339"/>
    <x v="132"/>
    <x v="0"/>
    <x v="137"/>
    <s v="Murfreesboro"/>
    <x v="18"/>
    <x v="0"/>
    <x v="0"/>
    <x v="5"/>
    <s v="Telescoping Adjustable Floor Lamp"/>
    <n v="15.991999999999999"/>
    <n v="1"/>
    <n v="0.2"/>
    <n v="0.99949999999999894"/>
  </r>
  <r>
    <n v="327"/>
    <s v="US-2018-141544"/>
    <x v="133"/>
    <x v="2"/>
    <x v="138"/>
    <s v="Philadelphia"/>
    <x v="9"/>
    <x v="3"/>
    <x v="2"/>
    <x v="7"/>
    <s v="Aastra 57i VoIP phone"/>
    <n v="290.89800000000002"/>
    <n v="3"/>
    <n v="0.4"/>
    <n v="-67.876199999999997"/>
  </r>
  <r>
    <n v="328"/>
    <s v="US-2018-141544"/>
    <x v="133"/>
    <x v="2"/>
    <x v="138"/>
    <s v="Philadelphia"/>
    <x v="9"/>
    <x v="3"/>
    <x v="1"/>
    <x v="4"/>
    <s v="File Shuttle II and Handi-File, Black"/>
    <n v="54.224000000000004"/>
    <n v="2"/>
    <n v="0.2"/>
    <n v="3.3889999999999993"/>
  </r>
  <r>
    <n v="329"/>
    <s v="US-2018-141544"/>
    <x v="133"/>
    <x v="2"/>
    <x v="138"/>
    <s v="Philadelphia"/>
    <x v="9"/>
    <x v="3"/>
    <x v="0"/>
    <x v="1"/>
    <s v="Hon 2090 “Pillow Soft” Series Mid Back Swivel/Tilt Chairs"/>
    <n v="786.74400000000003"/>
    <n v="4"/>
    <n v="0.3"/>
    <n v="-258.50160000000011"/>
  </r>
  <r>
    <n v="330"/>
    <s v="US-2018-141544"/>
    <x v="133"/>
    <x v="2"/>
    <x v="138"/>
    <s v="Philadelphia"/>
    <x v="9"/>
    <x v="3"/>
    <x v="1"/>
    <x v="2"/>
    <s v="Round Specialty Laser Printer Labels"/>
    <n v="100.24000000000001"/>
    <n v="10"/>
    <n v="0.2"/>
    <n v="33.830999999999989"/>
  </r>
  <r>
    <n v="331"/>
    <s v="US-2018-141544"/>
    <x v="133"/>
    <x v="2"/>
    <x v="138"/>
    <s v="Philadelphia"/>
    <x v="9"/>
    <x v="3"/>
    <x v="1"/>
    <x v="8"/>
    <s v="GBC Premium Transparent Covers with Diagonal Lined Pattern"/>
    <n v="37.76400000000001"/>
    <n v="6"/>
    <n v="0.7"/>
    <n v="-27.693600000000004"/>
  </r>
  <r>
    <n v="332"/>
    <s v="US-2018-150147"/>
    <x v="134"/>
    <x v="0"/>
    <x v="139"/>
    <s v="Philadelphia"/>
    <x v="9"/>
    <x v="3"/>
    <x v="2"/>
    <x v="7"/>
    <s v="AT&amp;T 841000 Phone"/>
    <n v="82.8"/>
    <n v="2"/>
    <n v="0.4"/>
    <n v="-20.700000000000003"/>
  </r>
  <r>
    <n v="333"/>
    <s v="US-2018-150147"/>
    <x v="134"/>
    <x v="0"/>
    <x v="139"/>
    <s v="Philadelphia"/>
    <x v="9"/>
    <x v="3"/>
    <x v="1"/>
    <x v="8"/>
    <s v="Ibico Recycled Grain-Textured Covers"/>
    <n v="20.724000000000004"/>
    <n v="2"/>
    <n v="0.7"/>
    <n v="-13.815999999999995"/>
  </r>
  <r>
    <n v="334"/>
    <s v="US-2018-150147"/>
    <x v="134"/>
    <x v="0"/>
    <x v="139"/>
    <s v="Philadelphia"/>
    <x v="9"/>
    <x v="3"/>
    <x v="1"/>
    <x v="8"/>
    <s v="Wilson Jones Custom Binder Spines &amp; Labels"/>
    <n v="4.8960000000000008"/>
    <n v="3"/>
    <n v="0.7"/>
    <n v="-3.4271999999999991"/>
  </r>
  <r>
    <n v="335"/>
    <s v="CA-2017-137946"/>
    <x v="135"/>
    <x v="0"/>
    <x v="140"/>
    <s v="Los Angeles"/>
    <x v="1"/>
    <x v="1"/>
    <x v="1"/>
    <x v="8"/>
    <s v="Storex Dura Pro Binders"/>
    <n v="4.7520000000000007"/>
    <n v="1"/>
    <n v="0.2"/>
    <n v="1.6037999999999997"/>
  </r>
  <r>
    <n v="336"/>
    <s v="CA-2017-137946"/>
    <x v="135"/>
    <x v="0"/>
    <x v="140"/>
    <s v="Los Angeles"/>
    <x v="1"/>
    <x v="1"/>
    <x v="2"/>
    <x v="16"/>
    <s v="Hewlett Packard LaserJet 3310 Copier"/>
    <n v="959.98400000000004"/>
    <n v="2"/>
    <n v="0.2"/>
    <n v="335.99440000000004"/>
  </r>
  <r>
    <n v="337"/>
    <s v="CA-2017-137946"/>
    <x v="135"/>
    <x v="0"/>
    <x v="140"/>
    <s v="Los Angeles"/>
    <x v="1"/>
    <x v="1"/>
    <x v="1"/>
    <x v="8"/>
    <s v="Avery Non-Stick Binders"/>
    <n v="14.368000000000002"/>
    <n v="4"/>
    <n v="0.2"/>
    <n v="4.4899999999999984"/>
  </r>
  <r>
    <n v="338"/>
    <s v="CA-2016-129924"/>
    <x v="136"/>
    <x v="1"/>
    <x v="141"/>
    <s v="San Francisco"/>
    <x v="1"/>
    <x v="1"/>
    <x v="1"/>
    <x v="8"/>
    <s v="Tuff Stuff Recycled Round Ring Binders"/>
    <n v="7.7120000000000006"/>
    <n v="2"/>
    <n v="0.2"/>
    <n v="2.7956000000000003"/>
  </r>
  <r>
    <n v="339"/>
    <s v="CA-2016-129924"/>
    <x v="136"/>
    <x v="1"/>
    <x v="141"/>
    <s v="San Francisco"/>
    <x v="1"/>
    <x v="1"/>
    <x v="0"/>
    <x v="3"/>
    <s v="Hon 5100 Series Wood Tables"/>
    <n v="698.35200000000009"/>
    <n v="3"/>
    <n v="0.2"/>
    <n v="-17.458800000000053"/>
  </r>
  <r>
    <n v="340"/>
    <s v="CA-2017-128167"/>
    <x v="137"/>
    <x v="0"/>
    <x v="107"/>
    <s v="Layton"/>
    <x v="7"/>
    <x v="1"/>
    <x v="1"/>
    <x v="13"/>
    <s v="OIC Binder Clips, Mini, 1/4&quot; Capacity, Black"/>
    <n v="4.96"/>
    <n v="4"/>
    <n v="0"/>
    <n v="2.3311999999999999"/>
  </r>
  <r>
    <n v="341"/>
    <s v="CA-2016-122336"/>
    <x v="138"/>
    <x v="0"/>
    <x v="63"/>
    <s v="Philadelphia"/>
    <x v="9"/>
    <x v="3"/>
    <x v="1"/>
    <x v="6"/>
    <s v="Newell 314"/>
    <n v="17.856000000000002"/>
    <n v="4"/>
    <n v="0.2"/>
    <n v="1.1159999999999979"/>
  </r>
  <r>
    <n v="342"/>
    <s v="CA-2016-122336"/>
    <x v="138"/>
    <x v="0"/>
    <x v="63"/>
    <s v="Philadelphia"/>
    <x v="9"/>
    <x v="3"/>
    <x v="1"/>
    <x v="8"/>
    <s v="Fellowes PB200 Plastic Comb Binding Machine"/>
    <n v="509.97000000000008"/>
    <n v="10"/>
    <n v="0.7"/>
    <n v="-407.97599999999989"/>
  </r>
  <r>
    <n v="343"/>
    <s v="CA-2016-122336"/>
    <x v="138"/>
    <x v="0"/>
    <x v="63"/>
    <s v="Philadelphia"/>
    <x v="9"/>
    <x v="3"/>
    <x v="1"/>
    <x v="13"/>
    <s v="Staples"/>
    <n v="30.991999999999997"/>
    <n v="13"/>
    <n v="0.2"/>
    <n v="10.072399999999996"/>
  </r>
  <r>
    <n v="344"/>
    <s v="CA-2016-122336"/>
    <x v="138"/>
    <x v="0"/>
    <x v="63"/>
    <s v="Philadelphia"/>
    <x v="9"/>
    <x v="3"/>
    <x v="2"/>
    <x v="7"/>
    <s v="Square Credit Card Reader, 4 1/2&quot; x 4 1/2&quot; x 1&quot;, White"/>
    <n v="71.927999999999997"/>
    <n v="12"/>
    <n v="0.4"/>
    <n v="8.3915999999999897"/>
  </r>
  <r>
    <n v="345"/>
    <s v="US-2017-120712"/>
    <x v="139"/>
    <x v="1"/>
    <x v="79"/>
    <s v="Austin"/>
    <x v="5"/>
    <x v="2"/>
    <x v="1"/>
    <x v="4"/>
    <s v="Fellowes Super Stor/Drawer"/>
    <n v="88.800000000000011"/>
    <n v="4"/>
    <n v="0.2"/>
    <n v="-2.2200000000000131"/>
  </r>
  <r>
    <n v="346"/>
    <s v="CA-2019-169901"/>
    <x v="140"/>
    <x v="1"/>
    <x v="142"/>
    <s v="San Francisco"/>
    <x v="1"/>
    <x v="1"/>
    <x v="2"/>
    <x v="7"/>
    <s v="Anker 36W 4-Port USB Wall Charger Travel Power Adapter for iPhone 5s 5c 5"/>
    <n v="47.975999999999999"/>
    <n v="3"/>
    <n v="0.2"/>
    <n v="4.7976000000000028"/>
  </r>
  <r>
    <n v="347"/>
    <s v="CA-2019-134306"/>
    <x v="141"/>
    <x v="1"/>
    <x v="143"/>
    <s v="Lowell"/>
    <x v="31"/>
    <x v="3"/>
    <x v="1"/>
    <x v="6"/>
    <s v="Binney &amp; Smith inkTank Erasable Desk Highlighter, Chisel Tip, Yellow, 12/Box"/>
    <n v="7.5600000000000005"/>
    <n v="3"/>
    <n v="0"/>
    <n v="3.0996000000000006"/>
  </r>
  <r>
    <n v="348"/>
    <s v="CA-2019-134306"/>
    <x v="141"/>
    <x v="1"/>
    <x v="143"/>
    <s v="Lowell"/>
    <x v="31"/>
    <x v="3"/>
    <x v="1"/>
    <x v="10"/>
    <s v="Easy-staple paper"/>
    <n v="24.56"/>
    <n v="2"/>
    <n v="0"/>
    <n v="11.543199999999999"/>
  </r>
  <r>
    <n v="349"/>
    <s v="CA-2019-134306"/>
    <x v="141"/>
    <x v="1"/>
    <x v="143"/>
    <s v="Lowell"/>
    <x v="31"/>
    <x v="3"/>
    <x v="1"/>
    <x v="6"/>
    <s v="BIC Brite Liner Highlighters, Chisel Tip"/>
    <n v="12.96"/>
    <n v="2"/>
    <n v="0"/>
    <n v="4.1471999999999998"/>
  </r>
  <r>
    <n v="350"/>
    <s v="CA-2018-129714"/>
    <x v="142"/>
    <x v="2"/>
    <x v="144"/>
    <s v="New York City"/>
    <x v="15"/>
    <x v="3"/>
    <x v="2"/>
    <x v="11"/>
    <s v="Sabrent 4-Port USB 2.0 Hub"/>
    <n v="6.79"/>
    <n v="1"/>
    <n v="0"/>
    <n v="2.3086000000000002"/>
  </r>
  <r>
    <n v="351"/>
    <s v="CA-2018-129714"/>
    <x v="142"/>
    <x v="2"/>
    <x v="144"/>
    <s v="New York City"/>
    <x v="15"/>
    <x v="3"/>
    <x v="1"/>
    <x v="10"/>
    <s v="Xerox 1881"/>
    <n v="24.56"/>
    <n v="2"/>
    <n v="0"/>
    <n v="11.543199999999999"/>
  </r>
  <r>
    <n v="352"/>
    <s v="CA-2018-129714"/>
    <x v="142"/>
    <x v="2"/>
    <x v="144"/>
    <s v="New York City"/>
    <x v="15"/>
    <x v="3"/>
    <x v="1"/>
    <x v="8"/>
    <s v="Acco Hanging Data Binders"/>
    <n v="3.048"/>
    <n v="1"/>
    <n v="0.2"/>
    <n v="1.0668"/>
  </r>
  <r>
    <n v="353"/>
    <s v="CA-2018-129714"/>
    <x v="142"/>
    <x v="2"/>
    <x v="144"/>
    <s v="New York City"/>
    <x v="15"/>
    <x v="3"/>
    <x v="1"/>
    <x v="10"/>
    <s v="Xerox 1881"/>
    <n v="49.12"/>
    <n v="4"/>
    <n v="0"/>
    <n v="23.086399999999998"/>
  </r>
  <r>
    <n v="354"/>
    <s v="CA-2018-129714"/>
    <x v="142"/>
    <x v="2"/>
    <x v="144"/>
    <s v="New York City"/>
    <x v="15"/>
    <x v="3"/>
    <x v="1"/>
    <x v="8"/>
    <s v="GBC DocuBind P400 Electric Binding System"/>
    <n v="4355.1680000000006"/>
    <n v="4"/>
    <n v="0.2"/>
    <n v="1415.4295999999997"/>
  </r>
  <r>
    <n v="355"/>
    <s v="CA-2018-138520"/>
    <x v="143"/>
    <x v="1"/>
    <x v="145"/>
    <s v="New York City"/>
    <x v="15"/>
    <x v="3"/>
    <x v="0"/>
    <x v="0"/>
    <s v="Sauder Barrister Bookcases"/>
    <n v="388.70400000000006"/>
    <n v="6"/>
    <n v="0.2"/>
    <n v="-4.8588000000000022"/>
  </r>
  <r>
    <n v="356"/>
    <s v="CA-2018-138520"/>
    <x v="143"/>
    <x v="1"/>
    <x v="145"/>
    <s v="New York City"/>
    <x v="15"/>
    <x v="3"/>
    <x v="1"/>
    <x v="12"/>
    <s v="#10 Gummed Flap White Envelopes, 100/Box"/>
    <n v="8.26"/>
    <n v="2"/>
    <n v="0"/>
    <n v="3.7995999999999999"/>
  </r>
  <r>
    <n v="357"/>
    <s v="CA-2018-138520"/>
    <x v="143"/>
    <x v="1"/>
    <x v="145"/>
    <s v="New York City"/>
    <x v="15"/>
    <x v="3"/>
    <x v="1"/>
    <x v="6"/>
    <s v="Dixon Prang Watercolor Pencils, 10-Color Set with Brush"/>
    <n v="17.04"/>
    <n v="4"/>
    <n v="0"/>
    <n v="6.9863999999999997"/>
  </r>
  <r>
    <n v="358"/>
    <s v="CA-2018-138520"/>
    <x v="143"/>
    <x v="1"/>
    <x v="145"/>
    <s v="New York City"/>
    <x v="15"/>
    <x v="3"/>
    <x v="1"/>
    <x v="10"/>
    <s v="Adams Phone Message Book, 200 Message Capacity, 8 1/16” x 11”"/>
    <n v="34.4"/>
    <n v="5"/>
    <n v="0"/>
    <n v="15.823999999999998"/>
  </r>
  <r>
    <n v="359"/>
    <s v="CA-2018-130001"/>
    <x v="131"/>
    <x v="1"/>
    <x v="96"/>
    <s v="Charlotte"/>
    <x v="3"/>
    <x v="0"/>
    <x v="1"/>
    <x v="10"/>
    <s v="Southworth 25% Cotton Linen-Finish Paper &amp; Envelopes"/>
    <n v="36.240000000000009"/>
    <n v="5"/>
    <n v="0.2"/>
    <n v="11.324999999999996"/>
  </r>
  <r>
    <n v="360"/>
    <s v="CA-2019-155698"/>
    <x v="144"/>
    <x v="2"/>
    <x v="146"/>
    <s v="Columbus"/>
    <x v="32"/>
    <x v="0"/>
    <x v="1"/>
    <x v="9"/>
    <s v="Belkin 8 Outlet SurgeMaster II Gold Surge Protector with Phone Protection"/>
    <n v="647.84"/>
    <n v="8"/>
    <n v="0"/>
    <n v="168.4384"/>
  </r>
  <r>
    <n v="361"/>
    <s v="CA-2019-155698"/>
    <x v="144"/>
    <x v="2"/>
    <x v="146"/>
    <s v="Columbus"/>
    <x v="32"/>
    <x v="0"/>
    <x v="1"/>
    <x v="2"/>
    <s v="Avery Address/Shipping Labels for Typewriters, 4&quot; x 2&quot;"/>
    <n v="20.7"/>
    <n v="2"/>
    <n v="0"/>
    <n v="9.9359999999999999"/>
  </r>
  <r>
    <n v="362"/>
    <s v="CA-2019-144904"/>
    <x v="145"/>
    <x v="1"/>
    <x v="147"/>
    <s v="New York City"/>
    <x v="15"/>
    <x v="3"/>
    <x v="1"/>
    <x v="2"/>
    <s v="Avery Address/Shipping Labels for Typewriters, 4&quot; x 2&quot;"/>
    <n v="20.7"/>
    <n v="2"/>
    <n v="0"/>
    <n v="9.9359999999999999"/>
  </r>
  <r>
    <n v="363"/>
    <s v="CA-2019-144904"/>
    <x v="145"/>
    <x v="1"/>
    <x v="147"/>
    <s v="New York City"/>
    <x v="15"/>
    <x v="3"/>
    <x v="0"/>
    <x v="1"/>
    <s v="Global Ergonomic Managers Chair"/>
    <n v="488.64600000000002"/>
    <n v="3"/>
    <n v="0.1"/>
    <n v="86.870400000000004"/>
  </r>
  <r>
    <n v="364"/>
    <s v="CA-2019-144904"/>
    <x v="145"/>
    <x v="1"/>
    <x v="147"/>
    <s v="New York City"/>
    <x v="15"/>
    <x v="3"/>
    <x v="1"/>
    <x v="6"/>
    <s v="Newell 333"/>
    <n v="5.56"/>
    <n v="2"/>
    <n v="0"/>
    <n v="1.4455999999999998"/>
  </r>
  <r>
    <n v="365"/>
    <s v="CA-2019-144904"/>
    <x v="145"/>
    <x v="1"/>
    <x v="147"/>
    <s v="New York City"/>
    <x v="15"/>
    <x v="3"/>
    <x v="0"/>
    <x v="5"/>
    <s v="Eldon Wave Desk Accessories"/>
    <n v="47.12"/>
    <n v="8"/>
    <n v="0"/>
    <n v="20.732800000000001"/>
  </r>
  <r>
    <n v="366"/>
    <s v="CA-2016-123344"/>
    <x v="146"/>
    <x v="1"/>
    <x v="148"/>
    <s v="San Francisco"/>
    <x v="1"/>
    <x v="1"/>
    <x v="1"/>
    <x v="4"/>
    <s v="Gould Plastics 9-Pocket Panel Bin, 18-3/8w x 5-1/4d x 20-1/2h, Black"/>
    <n v="211.96"/>
    <n v="4"/>
    <n v="0"/>
    <n v="8.4783999999999935"/>
  </r>
  <r>
    <n v="367"/>
    <s v="CA-2018-155516"/>
    <x v="147"/>
    <x v="3"/>
    <x v="149"/>
    <s v="Manchester"/>
    <x v="29"/>
    <x v="3"/>
    <x v="1"/>
    <x v="8"/>
    <s v="Wilson Jones “Snap” Scratch Pad Binder Tool for Ring Binders"/>
    <n v="23.2"/>
    <n v="4"/>
    <n v="0"/>
    <n v="10.44"/>
  </r>
  <r>
    <n v="368"/>
    <s v="CA-2018-155516"/>
    <x v="147"/>
    <x v="3"/>
    <x v="149"/>
    <s v="Manchester"/>
    <x v="29"/>
    <x v="3"/>
    <x v="1"/>
    <x v="14"/>
    <s v="Staple remover"/>
    <n v="7.36"/>
    <n v="2"/>
    <n v="0"/>
    <n v="0.14719999999999978"/>
  </r>
  <r>
    <n v="369"/>
    <s v="CA-2018-155516"/>
    <x v="147"/>
    <x v="3"/>
    <x v="149"/>
    <s v="Manchester"/>
    <x v="29"/>
    <x v="3"/>
    <x v="1"/>
    <x v="4"/>
    <s v="Pizazz Global Quick File"/>
    <n v="104.79"/>
    <n v="7"/>
    <n v="0"/>
    <n v="29.341200000000008"/>
  </r>
  <r>
    <n v="370"/>
    <s v="CA-2018-155516"/>
    <x v="147"/>
    <x v="3"/>
    <x v="149"/>
    <s v="Manchester"/>
    <x v="29"/>
    <x v="3"/>
    <x v="0"/>
    <x v="0"/>
    <s v="Atlantic Metals Mobile 3-Shelf Bookcases, Custom Colors"/>
    <n v="1043.92"/>
    <n v="4"/>
    <n v="0"/>
    <n v="271.41920000000005"/>
  </r>
  <r>
    <n v="371"/>
    <s v="CA-2019-104745"/>
    <x v="148"/>
    <x v="1"/>
    <x v="150"/>
    <s v="Harlingen"/>
    <x v="5"/>
    <x v="2"/>
    <x v="1"/>
    <x v="10"/>
    <s v="Xerox 1930"/>
    <n v="25.920000000000005"/>
    <n v="5"/>
    <n v="0.2"/>
    <n v="9.3960000000000008"/>
  </r>
  <r>
    <n v="372"/>
    <s v="CA-2019-104745"/>
    <x v="148"/>
    <x v="1"/>
    <x v="150"/>
    <s v="Harlingen"/>
    <x v="5"/>
    <x v="2"/>
    <x v="1"/>
    <x v="4"/>
    <s v="File Shuttle I and Handi-File"/>
    <n v="53.424000000000007"/>
    <n v="3"/>
    <n v="0.2"/>
    <n v="4.6746000000000016"/>
  </r>
  <r>
    <n v="373"/>
    <s v="US-2016-119137"/>
    <x v="149"/>
    <x v="1"/>
    <x v="151"/>
    <s v="Tucson"/>
    <x v="16"/>
    <x v="1"/>
    <x v="1"/>
    <x v="8"/>
    <s v="Wilson Jones Custom Binder Spines &amp; Labels"/>
    <n v="8.1600000000000019"/>
    <n v="5"/>
    <n v="0.7"/>
    <n v="-5.7119999999999997"/>
  </r>
  <r>
    <n v="374"/>
    <s v="US-2016-119137"/>
    <x v="149"/>
    <x v="1"/>
    <x v="151"/>
    <s v="Tucson"/>
    <x v="16"/>
    <x v="1"/>
    <x v="2"/>
    <x v="11"/>
    <s v="NETGEAR AC1750 Dual Band Gigabit Smart WiFi Router"/>
    <n v="1023.9360000000001"/>
    <n v="8"/>
    <n v="0.2"/>
    <n v="179.1887999999999"/>
  </r>
  <r>
    <n v="375"/>
    <s v="US-2016-119137"/>
    <x v="149"/>
    <x v="1"/>
    <x v="151"/>
    <s v="Tucson"/>
    <x v="16"/>
    <x v="1"/>
    <x v="1"/>
    <x v="6"/>
    <s v="Newell 324"/>
    <n v="9.24"/>
    <n v="1"/>
    <n v="0.2"/>
    <n v="0.92399999999999993"/>
  </r>
  <r>
    <n v="376"/>
    <s v="US-2016-119137"/>
    <x v="149"/>
    <x v="1"/>
    <x v="151"/>
    <s v="Tucson"/>
    <x v="16"/>
    <x v="1"/>
    <x v="2"/>
    <x v="11"/>
    <s v="Microsoft Natural Keyboard Elite"/>
    <n v="479.04"/>
    <n v="10"/>
    <n v="0.2"/>
    <n v="-29.940000000000012"/>
  </r>
  <r>
    <n v="377"/>
    <s v="US-2018-134656"/>
    <x v="150"/>
    <x v="2"/>
    <x v="152"/>
    <s v="Quincy"/>
    <x v="10"/>
    <x v="2"/>
    <x v="1"/>
    <x v="10"/>
    <s v="Xerox 1960"/>
    <n v="99.13600000000001"/>
    <n v="4"/>
    <n v="0.2"/>
    <n v="30.979999999999993"/>
  </r>
  <r>
    <n v="378"/>
    <s v="US-2019-134481"/>
    <x v="151"/>
    <x v="1"/>
    <x v="153"/>
    <s v="Franklin"/>
    <x v="31"/>
    <x v="3"/>
    <x v="0"/>
    <x v="3"/>
    <s v="Office Impressions End Table, 20-1/2&quot;H x 24&quot;W x 20&quot;D"/>
    <n v="1488.4239999999998"/>
    <n v="7"/>
    <n v="0.3"/>
    <n v="-297.68479999999983"/>
  </r>
  <r>
    <n v="379"/>
    <s v="CA-2017-130792"/>
    <x v="152"/>
    <x v="1"/>
    <x v="154"/>
    <s v="Houston"/>
    <x v="5"/>
    <x v="2"/>
    <x v="1"/>
    <x v="9"/>
    <s v="Holmes Odor Grabber"/>
    <n v="8.6519999999999975"/>
    <n v="3"/>
    <n v="0.8"/>
    <n v="-20.332200000000007"/>
  </r>
  <r>
    <n v="380"/>
    <s v="CA-2017-130792"/>
    <x v="152"/>
    <x v="1"/>
    <x v="154"/>
    <s v="Houston"/>
    <x v="5"/>
    <x v="2"/>
    <x v="1"/>
    <x v="4"/>
    <s v="Akro-Mils 12-Gallon Tote"/>
    <n v="23.832000000000001"/>
    <n v="3"/>
    <n v="0.2"/>
    <n v="2.6810999999999954"/>
  </r>
  <r>
    <n v="381"/>
    <s v="CA-2017-130792"/>
    <x v="152"/>
    <x v="1"/>
    <x v="154"/>
    <s v="Houston"/>
    <x v="5"/>
    <x v="2"/>
    <x v="1"/>
    <x v="8"/>
    <s v="GBC Twin Loop Wire Binding Elements, 9/16&quot; Spine, Black"/>
    <n v="12.175999999999998"/>
    <n v="4"/>
    <n v="0.8"/>
    <n v="-18.872800000000009"/>
  </r>
  <r>
    <n v="382"/>
    <s v="CA-2018-134775"/>
    <x v="99"/>
    <x v="2"/>
    <x v="155"/>
    <s v="San Francisco"/>
    <x v="1"/>
    <x v="1"/>
    <x v="1"/>
    <x v="10"/>
    <s v="Southworth Structures Collection"/>
    <n v="50.96"/>
    <n v="7"/>
    <n v="0"/>
    <n v="25.48"/>
  </r>
  <r>
    <n v="383"/>
    <s v="CA-2018-134775"/>
    <x v="99"/>
    <x v="2"/>
    <x v="155"/>
    <s v="San Francisco"/>
    <x v="1"/>
    <x v="1"/>
    <x v="1"/>
    <x v="8"/>
    <s v="Square Ring Data Binders, Rigid 75 Pt. Covers, 11&quot; x 14-7/8&quot;"/>
    <n v="49.536000000000001"/>
    <n v="3"/>
    <n v="0.2"/>
    <n v="17.337599999999998"/>
  </r>
  <r>
    <n v="384"/>
    <s v="CA-2017-125395"/>
    <x v="153"/>
    <x v="0"/>
    <x v="156"/>
    <s v="Taylor"/>
    <x v="12"/>
    <x v="2"/>
    <x v="2"/>
    <x v="11"/>
    <s v="Sony 32GB Class 10 Micro SDHC R40 Memory Card"/>
    <n v="41.9"/>
    <n v="2"/>
    <n v="0"/>
    <n v="8.7989999999999995"/>
  </r>
  <r>
    <n v="385"/>
    <s v="US-2017-168935"/>
    <x v="154"/>
    <x v="1"/>
    <x v="157"/>
    <s v="Pembroke Pines"/>
    <x v="2"/>
    <x v="0"/>
    <x v="0"/>
    <x v="3"/>
    <s v="Hon Practical Foundations 30 x 60 Training Table, Light Gray/Charcoal"/>
    <n v="375.45750000000004"/>
    <n v="3"/>
    <n v="0.45"/>
    <n v="-157.00949999999997"/>
  </r>
  <r>
    <n v="386"/>
    <s v="US-2017-168935"/>
    <x v="154"/>
    <x v="1"/>
    <x v="157"/>
    <s v="Pembroke Pines"/>
    <x v="2"/>
    <x v="0"/>
    <x v="2"/>
    <x v="11"/>
    <s v="Logitech Media Keyboard K200"/>
    <n v="83.976000000000013"/>
    <n v="3"/>
    <n v="0.2"/>
    <n v="-1.049700000000005"/>
  </r>
  <r>
    <n v="387"/>
    <s v="CA-2017-122756"/>
    <x v="155"/>
    <x v="1"/>
    <x v="158"/>
    <s v="Philadelphia"/>
    <x v="9"/>
    <x v="3"/>
    <x v="2"/>
    <x v="15"/>
    <s v="Lexmark MarkNet N8150 Wireless Print Server"/>
    <n v="482.34000000000003"/>
    <n v="4"/>
    <n v="0.7"/>
    <n v="-337.63799999999981"/>
  </r>
  <r>
    <n v="388"/>
    <s v="CA-2017-122756"/>
    <x v="155"/>
    <x v="1"/>
    <x v="158"/>
    <s v="Philadelphia"/>
    <x v="9"/>
    <x v="3"/>
    <x v="0"/>
    <x v="5"/>
    <s v="3M Hangers With Command Adhesive"/>
    <n v="2.9600000000000004"/>
    <n v="1"/>
    <n v="0.2"/>
    <n v="0.77700000000000025"/>
  </r>
  <r>
    <n v="389"/>
    <s v="CA-2016-115973"/>
    <x v="156"/>
    <x v="2"/>
    <x v="159"/>
    <s v="Cincinnati"/>
    <x v="24"/>
    <x v="3"/>
    <x v="1"/>
    <x v="6"/>
    <s v="Crayola Colored Pencils"/>
    <n v="2.6240000000000001"/>
    <n v="1"/>
    <n v="0.2"/>
    <n v="0.42639999999999978"/>
  </r>
  <r>
    <n v="390"/>
    <s v="CA-2019-101798"/>
    <x v="157"/>
    <x v="1"/>
    <x v="160"/>
    <s v="New York City"/>
    <x v="15"/>
    <x v="3"/>
    <x v="1"/>
    <x v="8"/>
    <s v="Angle-D Binders with Locking Rings, Label Holders"/>
    <n v="23.36"/>
    <n v="4"/>
    <n v="0.2"/>
    <n v="7.8839999999999986"/>
  </r>
  <r>
    <n v="391"/>
    <s v="CA-2019-101798"/>
    <x v="157"/>
    <x v="1"/>
    <x v="160"/>
    <s v="New York City"/>
    <x v="15"/>
    <x v="3"/>
    <x v="2"/>
    <x v="11"/>
    <s v="Logitech LS21 Speaker System - PC Multimedia - 2.1-CH - Wired"/>
    <n v="39.979999999999997"/>
    <n v="2"/>
    <n v="0"/>
    <n v="13.593199999999996"/>
  </r>
  <r>
    <n v="392"/>
    <s v="US-2016-135972"/>
    <x v="158"/>
    <x v="0"/>
    <x v="161"/>
    <s v="Des Moines"/>
    <x v="4"/>
    <x v="1"/>
    <x v="2"/>
    <x v="7"/>
    <s v="Nortel Meridian M3904 Professional Digital phone"/>
    <n v="246.38400000000001"/>
    <n v="2"/>
    <n v="0.2"/>
    <n v="27.718199999999968"/>
  </r>
  <r>
    <n v="393"/>
    <s v="US-2016-135972"/>
    <x v="158"/>
    <x v="0"/>
    <x v="161"/>
    <s v="Des Moines"/>
    <x v="4"/>
    <x v="1"/>
    <x v="2"/>
    <x v="16"/>
    <s v="Canon PC1080F Personal Copier"/>
    <n v="1799.97"/>
    <n v="3"/>
    <n v="0"/>
    <n v="701.98829999999998"/>
  </r>
  <r>
    <n v="394"/>
    <s v="US-2016-134971"/>
    <x v="159"/>
    <x v="0"/>
    <x v="162"/>
    <s v="Peoria"/>
    <x v="10"/>
    <x v="2"/>
    <x v="1"/>
    <x v="8"/>
    <s v="Wilson Jones Century Plastic Molded Ring Binders"/>
    <n v="12.461999999999996"/>
    <n v="3"/>
    <n v="0.8"/>
    <n v="-20.5623"/>
  </r>
  <r>
    <n v="395"/>
    <s v="CA-2019-102946"/>
    <x v="160"/>
    <x v="1"/>
    <x v="163"/>
    <s v="Las Vegas"/>
    <x v="33"/>
    <x v="1"/>
    <x v="1"/>
    <x v="8"/>
    <s v="Tuf-Vin Binders"/>
    <n v="75.792000000000002"/>
    <n v="3"/>
    <n v="0.2"/>
    <n v="25.579799999999992"/>
  </r>
  <r>
    <n v="396"/>
    <s v="CA-2019-165603"/>
    <x v="161"/>
    <x v="0"/>
    <x v="164"/>
    <s v="Warwick"/>
    <x v="34"/>
    <x v="3"/>
    <x v="1"/>
    <x v="4"/>
    <s v="2300 Heavy-Duty Transfer File Systems by Perma"/>
    <n v="49.96"/>
    <n v="2"/>
    <n v="0"/>
    <n v="9.4923999999999964"/>
  </r>
  <r>
    <n v="397"/>
    <s v="CA-2019-165603"/>
    <x v="161"/>
    <x v="0"/>
    <x v="164"/>
    <s v="Warwick"/>
    <x v="34"/>
    <x v="3"/>
    <x v="1"/>
    <x v="10"/>
    <s v="Xerox 1958"/>
    <n v="12.96"/>
    <n v="2"/>
    <n v="0"/>
    <n v="6.2208000000000006"/>
  </r>
  <r>
    <n v="398"/>
    <s v="CA-2017-122259"/>
    <x v="89"/>
    <x v="1"/>
    <x v="6"/>
    <s v="Jackson"/>
    <x v="12"/>
    <x v="2"/>
    <x v="1"/>
    <x v="14"/>
    <s v="Acme 10&quot; Easy Grip Assistive Scissors"/>
    <n v="70.12"/>
    <n v="4"/>
    <n v="0"/>
    <n v="21.035999999999994"/>
  </r>
  <r>
    <n v="399"/>
    <s v="CA-2018-108987"/>
    <x v="162"/>
    <x v="0"/>
    <x v="165"/>
    <s v="Houston"/>
    <x v="5"/>
    <x v="2"/>
    <x v="1"/>
    <x v="4"/>
    <s v="Super Decoflex Portable Personal File"/>
    <n v="35.952000000000005"/>
    <n v="3"/>
    <n v="0.2"/>
    <n v="3.5951999999999984"/>
  </r>
  <r>
    <n v="400"/>
    <s v="CA-2018-108987"/>
    <x v="162"/>
    <x v="0"/>
    <x v="165"/>
    <s v="Houston"/>
    <x v="5"/>
    <x v="2"/>
    <x v="0"/>
    <x v="0"/>
    <s v="Riverside Palais Royal Lawyers Bookcase, Royale Cherry Finish"/>
    <n v="2396.2655999999997"/>
    <n v="4"/>
    <n v="0.32"/>
    <n v="-317.15280000000007"/>
  </r>
  <r>
    <n v="401"/>
    <s v="CA-2018-108987"/>
    <x v="162"/>
    <x v="0"/>
    <x v="165"/>
    <s v="Houston"/>
    <x v="5"/>
    <x v="2"/>
    <x v="1"/>
    <x v="4"/>
    <s v="Contico 72&quot;H Heavy-Duty Storage System"/>
    <n v="131.136"/>
    <n v="4"/>
    <n v="0.2"/>
    <n v="-32.783999999999999"/>
  </r>
  <r>
    <n v="402"/>
    <s v="CA-2018-108987"/>
    <x v="162"/>
    <x v="0"/>
    <x v="165"/>
    <s v="Houston"/>
    <x v="5"/>
    <x v="2"/>
    <x v="2"/>
    <x v="11"/>
    <s v="Sony 64GB Class 10 Micro SDHC R40 Memory Card"/>
    <n v="57.584000000000003"/>
    <n v="2"/>
    <n v="0.2"/>
    <n v="0.71979999999999933"/>
  </r>
  <r>
    <n v="403"/>
    <s v="CA-2016-113166"/>
    <x v="163"/>
    <x v="2"/>
    <x v="166"/>
    <s v="Miami"/>
    <x v="2"/>
    <x v="0"/>
    <x v="1"/>
    <x v="10"/>
    <s v="Xerox 1974"/>
    <n v="9.5680000000000014"/>
    <n v="2"/>
    <n v="0.2"/>
    <n v="3.4683999999999999"/>
  </r>
  <r>
    <n v="404"/>
    <s v="CA-2016-155208"/>
    <x v="164"/>
    <x v="1"/>
    <x v="70"/>
    <s v="Wilmington"/>
    <x v="3"/>
    <x v="0"/>
    <x v="1"/>
    <x v="6"/>
    <s v="Avery Hi-Liter EverBold Pen Style Fluorescent Highlighters, 4/Pack"/>
    <n v="39.072000000000003"/>
    <n v="6"/>
    <n v="0.2"/>
    <n v="9.7680000000000007"/>
  </r>
  <r>
    <n v="405"/>
    <s v="CA-2019-117933"/>
    <x v="165"/>
    <x v="1"/>
    <x v="167"/>
    <s v="New York City"/>
    <x v="15"/>
    <x v="3"/>
    <x v="1"/>
    <x v="9"/>
    <s v="Staple holder"/>
    <n v="35.910000000000004"/>
    <n v="3"/>
    <n v="0"/>
    <n v="9.6956999999999987"/>
  </r>
  <r>
    <n v="406"/>
    <s v="CA-2019-117457"/>
    <x v="166"/>
    <x v="1"/>
    <x v="168"/>
    <s v="San Francisco"/>
    <x v="1"/>
    <x v="1"/>
    <x v="2"/>
    <x v="11"/>
    <s v="Sony 64GB Class 10 Micro SDHC R40 Memory Card"/>
    <n v="179.95000000000002"/>
    <n v="5"/>
    <n v="0"/>
    <n v="37.789500000000004"/>
  </r>
  <r>
    <n v="407"/>
    <s v="CA-2019-117457"/>
    <x v="166"/>
    <x v="1"/>
    <x v="168"/>
    <s v="San Francisco"/>
    <x v="1"/>
    <x v="1"/>
    <x v="2"/>
    <x v="16"/>
    <s v="Sharp AL-1530CS Digital Copier"/>
    <n v="1199.9760000000001"/>
    <n v="3"/>
    <n v="0.2"/>
    <n v="434.99130000000002"/>
  </r>
  <r>
    <n v="408"/>
    <s v="CA-2019-117457"/>
    <x v="166"/>
    <x v="1"/>
    <x v="168"/>
    <s v="San Francisco"/>
    <x v="1"/>
    <x v="1"/>
    <x v="1"/>
    <x v="10"/>
    <s v="Wirebound Message Book, 4 per Page"/>
    <n v="27.15"/>
    <n v="5"/>
    <n v="0"/>
    <n v="13.3035"/>
  </r>
  <r>
    <n v="409"/>
    <s v="CA-2019-117457"/>
    <x v="166"/>
    <x v="1"/>
    <x v="168"/>
    <s v="San Francisco"/>
    <x v="1"/>
    <x v="1"/>
    <x v="0"/>
    <x v="3"/>
    <s v="Bevis Round Conference Table Top, X-Base"/>
    <n v="1004.0239999999999"/>
    <n v="7"/>
    <n v="0.2"/>
    <n v="-112.95269999999994"/>
  </r>
  <r>
    <n v="410"/>
    <s v="CA-2019-117457"/>
    <x v="166"/>
    <x v="1"/>
    <x v="168"/>
    <s v="San Francisco"/>
    <x v="1"/>
    <x v="1"/>
    <x v="1"/>
    <x v="10"/>
    <s v="Wirebound Service Call Books, 5 1/2&quot; x 4&quot;"/>
    <n v="9.68"/>
    <n v="1"/>
    <n v="0"/>
    <n v="4.6463999999999999"/>
  </r>
  <r>
    <n v="411"/>
    <s v="CA-2019-117457"/>
    <x v="166"/>
    <x v="1"/>
    <x v="168"/>
    <s v="San Francisco"/>
    <x v="1"/>
    <x v="1"/>
    <x v="1"/>
    <x v="2"/>
    <s v="Self-Adhesive Removable Labels"/>
    <n v="28.349999999999998"/>
    <n v="9"/>
    <n v="0"/>
    <n v="13.608000000000001"/>
  </r>
  <r>
    <n v="412"/>
    <s v="CA-2019-117457"/>
    <x v="166"/>
    <x v="1"/>
    <x v="168"/>
    <s v="San Francisco"/>
    <x v="1"/>
    <x v="1"/>
    <x v="1"/>
    <x v="10"/>
    <s v="Xerox 1908"/>
    <n v="55.98"/>
    <n v="1"/>
    <n v="0"/>
    <n v="27.430199999999999"/>
  </r>
  <r>
    <n v="413"/>
    <s v="CA-2019-117457"/>
    <x v="166"/>
    <x v="1"/>
    <x v="168"/>
    <s v="San Francisco"/>
    <x v="1"/>
    <x v="1"/>
    <x v="0"/>
    <x v="0"/>
    <s v="O'Sullivan 4-Shelf Bookcase in Odessa Pine"/>
    <n v="1336.829"/>
    <n v="13"/>
    <n v="0.15"/>
    <n v="31.454799999999949"/>
  </r>
  <r>
    <n v="414"/>
    <s v="CA-2019-117457"/>
    <x v="166"/>
    <x v="1"/>
    <x v="168"/>
    <s v="San Francisco"/>
    <x v="1"/>
    <x v="1"/>
    <x v="0"/>
    <x v="1"/>
    <s v="Novimex High-Tech Fabric Mesh Task Chair"/>
    <n v="113.56800000000001"/>
    <n v="2"/>
    <n v="0.2"/>
    <n v="-18.454800000000013"/>
  </r>
  <r>
    <n v="415"/>
    <s v="CA-2019-142636"/>
    <x v="132"/>
    <x v="1"/>
    <x v="169"/>
    <s v="Seattle"/>
    <x v="4"/>
    <x v="1"/>
    <x v="1"/>
    <x v="10"/>
    <s v="Xerox 191"/>
    <n v="139.86000000000001"/>
    <n v="7"/>
    <n v="0"/>
    <n v="65.734199999999987"/>
  </r>
  <r>
    <n v="416"/>
    <s v="CA-2019-142636"/>
    <x v="132"/>
    <x v="1"/>
    <x v="169"/>
    <s v="Seattle"/>
    <x v="4"/>
    <x v="1"/>
    <x v="0"/>
    <x v="1"/>
    <s v="Global Deluxe Office Fabric Chairs"/>
    <n v="307.13600000000002"/>
    <n v="4"/>
    <n v="0.2"/>
    <n v="26.874400000000023"/>
  </r>
  <r>
    <n v="417"/>
    <s v="CA-2019-122105"/>
    <x v="92"/>
    <x v="1"/>
    <x v="170"/>
    <s v="Huntington Beach"/>
    <x v="1"/>
    <x v="1"/>
    <x v="1"/>
    <x v="6"/>
    <s v="Bulldog Vacuum Base Pencil Sharpener"/>
    <n v="95.92"/>
    <n v="8"/>
    <n v="0"/>
    <n v="25.898399999999995"/>
  </r>
  <r>
    <n v="418"/>
    <s v="CA-2018-148796"/>
    <x v="167"/>
    <x v="1"/>
    <x v="171"/>
    <s v="Los Angeles"/>
    <x v="1"/>
    <x v="1"/>
    <x v="0"/>
    <x v="1"/>
    <s v="Bevis Steel Folding Chairs"/>
    <n v="383.8"/>
    <n v="5"/>
    <n v="0.2"/>
    <n v="38.379999999999981"/>
  </r>
  <r>
    <n v="419"/>
    <s v="CA-2019-154816"/>
    <x v="44"/>
    <x v="1"/>
    <x v="146"/>
    <s v="Richmond"/>
    <x v="0"/>
    <x v="0"/>
    <x v="1"/>
    <x v="10"/>
    <s v="Xerox 1987"/>
    <n v="5.78"/>
    <n v="1"/>
    <n v="0"/>
    <n v="2.8322000000000003"/>
  </r>
  <r>
    <n v="420"/>
    <s v="CA-2019-110478"/>
    <x v="168"/>
    <x v="1"/>
    <x v="133"/>
    <s v="Los Angeles"/>
    <x v="1"/>
    <x v="1"/>
    <x v="1"/>
    <x v="6"/>
    <s v="American Pencil"/>
    <n v="9.32"/>
    <n v="4"/>
    <n v="0"/>
    <n v="2.702799999999999"/>
  </r>
  <r>
    <n v="421"/>
    <s v="CA-2019-110478"/>
    <x v="168"/>
    <x v="1"/>
    <x v="133"/>
    <s v="Los Angeles"/>
    <x v="1"/>
    <x v="1"/>
    <x v="1"/>
    <x v="12"/>
    <s v="White Envelopes, White Envelopes with Clear Poly Window"/>
    <n v="15.25"/>
    <n v="1"/>
    <n v="0"/>
    <n v="7.0149999999999988"/>
  </r>
  <r>
    <n v="422"/>
    <s v="CA-2016-142048"/>
    <x v="169"/>
    <x v="2"/>
    <x v="32"/>
    <s v="Louisville"/>
    <x v="22"/>
    <x v="1"/>
    <x v="2"/>
    <x v="11"/>
    <s v="KeyTronic 6101 Series - Keyboard - Black"/>
    <n v="196.75200000000001"/>
    <n v="6"/>
    <n v="0.2"/>
    <n v="56.566200000000009"/>
  </r>
  <r>
    <n v="423"/>
    <s v="CA-2019-125388"/>
    <x v="15"/>
    <x v="1"/>
    <x v="172"/>
    <s v="Lawrence"/>
    <x v="31"/>
    <x v="3"/>
    <x v="0"/>
    <x v="5"/>
    <s v="Westinghouse Mesh Shade Clip-On Gooseneck Lamp, Black"/>
    <n v="56.56"/>
    <n v="4"/>
    <n v="0"/>
    <n v="14.705600000000004"/>
  </r>
  <r>
    <n v="424"/>
    <s v="CA-2019-125388"/>
    <x v="15"/>
    <x v="1"/>
    <x v="172"/>
    <s v="Lawrence"/>
    <x v="31"/>
    <x v="3"/>
    <x v="1"/>
    <x v="4"/>
    <s v="Crate-A-Files"/>
    <n v="32.700000000000003"/>
    <n v="3"/>
    <n v="0"/>
    <n v="8.5019999999999989"/>
  </r>
  <r>
    <n v="425"/>
    <s v="CA-2019-155705"/>
    <x v="170"/>
    <x v="0"/>
    <x v="173"/>
    <s v="Jackson"/>
    <x v="35"/>
    <x v="0"/>
    <x v="0"/>
    <x v="1"/>
    <s v="Hon Multipurpose Stacking Arm Chairs"/>
    <n v="866.4"/>
    <n v="4"/>
    <n v="0"/>
    <n v="225.26400000000001"/>
  </r>
  <r>
    <n v="426"/>
    <s v="CA-2019-149160"/>
    <x v="51"/>
    <x v="0"/>
    <x v="25"/>
    <s v="Canton"/>
    <x v="12"/>
    <x v="2"/>
    <x v="0"/>
    <x v="5"/>
    <s v="Coloredge Poster Frame"/>
    <n v="28.4"/>
    <n v="2"/>
    <n v="0"/>
    <n v="11.076000000000001"/>
  </r>
  <r>
    <n v="427"/>
    <s v="CA-2019-149160"/>
    <x v="51"/>
    <x v="0"/>
    <x v="25"/>
    <s v="Canton"/>
    <x v="12"/>
    <x v="2"/>
    <x v="1"/>
    <x v="8"/>
    <s v="GBC VeloBinder Manual Binding System"/>
    <n v="287.92"/>
    <n v="8"/>
    <n v="0"/>
    <n v="138.20160000000001"/>
  </r>
  <r>
    <n v="428"/>
    <s v="CA-2016-101476"/>
    <x v="171"/>
    <x v="2"/>
    <x v="174"/>
    <s v="New Rochelle"/>
    <x v="15"/>
    <x v="3"/>
    <x v="2"/>
    <x v="15"/>
    <s v="Epson WorkForce WF-2530 All-in-One Printer, Copier Scanner"/>
    <n v="69.989999999999995"/>
    <n v="1"/>
    <n v="0"/>
    <n v="30.095700000000001"/>
  </r>
  <r>
    <n v="429"/>
    <s v="CA-2019-152275"/>
    <x v="172"/>
    <x v="1"/>
    <x v="175"/>
    <s v="San Antonio"/>
    <x v="5"/>
    <x v="2"/>
    <x v="1"/>
    <x v="6"/>
    <s v="Design Ebony Sketching Pencil"/>
    <n v="6.6719999999999988"/>
    <n v="6"/>
    <n v="0.2"/>
    <n v="0.50039999999999996"/>
  </r>
  <r>
    <n v="430"/>
    <s v="US-2018-123750"/>
    <x v="173"/>
    <x v="1"/>
    <x v="176"/>
    <s v="Gastonia"/>
    <x v="3"/>
    <x v="0"/>
    <x v="1"/>
    <x v="8"/>
    <s v="GBC ProClick 150 Presentation Binding System"/>
    <n v="189.58800000000005"/>
    <n v="2"/>
    <n v="0.7"/>
    <n v="-145.35079999999999"/>
  </r>
  <r>
    <n v="431"/>
    <s v="US-2018-123750"/>
    <x v="173"/>
    <x v="1"/>
    <x v="176"/>
    <s v="Gastonia"/>
    <x v="3"/>
    <x v="0"/>
    <x v="2"/>
    <x v="11"/>
    <s v="Imation Secure+ Hardware Encrypted USB 2.0 Flash Drive; 16GB"/>
    <n v="408.74399999999997"/>
    <n v="7"/>
    <n v="0.2"/>
    <n v="76.639499999999984"/>
  </r>
  <r>
    <n v="432"/>
    <s v="US-2018-123750"/>
    <x v="173"/>
    <x v="1"/>
    <x v="176"/>
    <s v="Gastonia"/>
    <x v="3"/>
    <x v="0"/>
    <x v="2"/>
    <x v="11"/>
    <s v="Imation Secure+ Hardware Encrypted USB 2.0 Flash Drive; 16GB"/>
    <n v="291.95999999999998"/>
    <n v="5"/>
    <n v="0.2"/>
    <n v="54.742499999999978"/>
  </r>
  <r>
    <n v="433"/>
    <s v="US-2018-123750"/>
    <x v="173"/>
    <x v="1"/>
    <x v="176"/>
    <s v="Gastonia"/>
    <x v="3"/>
    <x v="0"/>
    <x v="1"/>
    <x v="4"/>
    <s v="Woodgrain Magazine Files by Perma"/>
    <n v="4.7679999999999998"/>
    <n v="2"/>
    <n v="0.2"/>
    <n v="-0.7748000000000006"/>
  </r>
  <r>
    <n v="434"/>
    <s v="CA-2018-127369"/>
    <x v="112"/>
    <x v="2"/>
    <x v="72"/>
    <s v="Lowell"/>
    <x v="31"/>
    <x v="3"/>
    <x v="1"/>
    <x v="4"/>
    <s v="Letter Size Cart"/>
    <n v="714.30000000000007"/>
    <n v="5"/>
    <n v="0"/>
    <n v="207.14699999999993"/>
  </r>
  <r>
    <n v="435"/>
    <s v="US-2016-150574"/>
    <x v="174"/>
    <x v="1"/>
    <x v="177"/>
    <s v="Jacksonville"/>
    <x v="2"/>
    <x v="0"/>
    <x v="1"/>
    <x v="8"/>
    <s v="Insertable Tab Post Binder Dividers"/>
    <n v="4.8120000000000003"/>
    <n v="2"/>
    <n v="0.7"/>
    <n v="-3.6891999999999996"/>
  </r>
  <r>
    <n v="436"/>
    <s v="US-2016-150574"/>
    <x v="174"/>
    <x v="1"/>
    <x v="177"/>
    <s v="Jacksonville"/>
    <x v="2"/>
    <x v="0"/>
    <x v="2"/>
    <x v="11"/>
    <s v="Belkin QODE FastFit Bluetooth Keyboard"/>
    <n v="247.8"/>
    <n v="5"/>
    <n v="0.2"/>
    <n v="-18.584999999999994"/>
  </r>
  <r>
    <n v="437"/>
    <s v="CA-2018-147375"/>
    <x v="1"/>
    <x v="0"/>
    <x v="178"/>
    <s v="Chicago"/>
    <x v="10"/>
    <x v="2"/>
    <x v="2"/>
    <x v="15"/>
    <s v="Canon Color ImageCLASS MF8580Cdw Wireless Laser All-In-One Printer, Copier, Scanner"/>
    <n v="1007.979"/>
    <n v="3"/>
    <n v="0.3"/>
    <n v="43.199100000000044"/>
  </r>
  <r>
    <n v="438"/>
    <s v="CA-2018-147375"/>
    <x v="1"/>
    <x v="0"/>
    <x v="178"/>
    <s v="Chicago"/>
    <x v="10"/>
    <x v="2"/>
    <x v="1"/>
    <x v="10"/>
    <s v="Xerox 1908"/>
    <n v="313.488"/>
    <n v="7"/>
    <n v="0.2"/>
    <n v="113.63939999999998"/>
  </r>
  <r>
    <n v="439"/>
    <s v="CA-2019-130043"/>
    <x v="175"/>
    <x v="1"/>
    <x v="179"/>
    <s v="Houston"/>
    <x v="5"/>
    <x v="2"/>
    <x v="1"/>
    <x v="10"/>
    <s v="Xerox 1897"/>
    <n v="31.872000000000003"/>
    <n v="8"/>
    <n v="0.2"/>
    <n v="11.553600000000003"/>
  </r>
  <r>
    <n v="440"/>
    <s v="CA-2019-157252"/>
    <x v="176"/>
    <x v="0"/>
    <x v="51"/>
    <s v="New York City"/>
    <x v="15"/>
    <x v="3"/>
    <x v="0"/>
    <x v="1"/>
    <s v="Global Deluxe Steno Chair"/>
    <n v="207.84600000000003"/>
    <n v="3"/>
    <n v="0.1"/>
    <n v="2.3093999999999895"/>
  </r>
  <r>
    <n v="441"/>
    <s v="CA-2018-115756"/>
    <x v="64"/>
    <x v="0"/>
    <x v="7"/>
    <s v="Detroit"/>
    <x v="12"/>
    <x v="2"/>
    <x v="0"/>
    <x v="5"/>
    <s v="Aluminum Document Frame"/>
    <n v="12.22"/>
    <n v="1"/>
    <n v="0"/>
    <n v="3.6659999999999986"/>
  </r>
  <r>
    <n v="442"/>
    <s v="CA-2018-115756"/>
    <x v="64"/>
    <x v="0"/>
    <x v="7"/>
    <s v="Detroit"/>
    <x v="12"/>
    <x v="2"/>
    <x v="1"/>
    <x v="4"/>
    <s v="Fellowes Bankers Box Staxonsteel Drawer File/Stacking System"/>
    <n v="194.94"/>
    <n v="3"/>
    <n v="0"/>
    <n v="23.392800000000008"/>
  </r>
  <r>
    <n v="443"/>
    <s v="CA-2018-115756"/>
    <x v="64"/>
    <x v="0"/>
    <x v="7"/>
    <s v="Detroit"/>
    <x v="12"/>
    <x v="2"/>
    <x v="1"/>
    <x v="4"/>
    <s v="Eldon Mobile Mega Data Cart  Mega Stackable  Add-On Trays"/>
    <n v="70.949999999999989"/>
    <n v="3"/>
    <n v="0"/>
    <n v="20.575499999999998"/>
  </r>
  <r>
    <n v="444"/>
    <s v="CA-2018-115756"/>
    <x v="64"/>
    <x v="0"/>
    <x v="7"/>
    <s v="Detroit"/>
    <x v="12"/>
    <x v="2"/>
    <x v="1"/>
    <x v="10"/>
    <s v="Xerox Color Copier Paper, 11&quot; x 17&quot;, Ream"/>
    <n v="91.36"/>
    <n v="4"/>
    <n v="0"/>
    <n v="42.025599999999997"/>
  </r>
  <r>
    <n v="445"/>
    <s v="CA-2018-115756"/>
    <x v="64"/>
    <x v="0"/>
    <x v="7"/>
    <s v="Detroit"/>
    <x v="12"/>
    <x v="2"/>
    <x v="0"/>
    <x v="1"/>
    <s v="Office Star - Ergonomically Designed Knee Chair"/>
    <n v="242.94"/>
    <n v="3"/>
    <n v="0"/>
    <n v="29.152800000000013"/>
  </r>
  <r>
    <n v="446"/>
    <s v="CA-2018-115756"/>
    <x v="64"/>
    <x v="0"/>
    <x v="7"/>
    <s v="Detroit"/>
    <x v="12"/>
    <x v="2"/>
    <x v="1"/>
    <x v="2"/>
    <s v="Avery 520"/>
    <n v="22.05"/>
    <n v="7"/>
    <n v="0"/>
    <n v="10.584"/>
  </r>
  <r>
    <n v="447"/>
    <s v="CA-2019-154214"/>
    <x v="177"/>
    <x v="0"/>
    <x v="180"/>
    <s v="Columbus"/>
    <x v="14"/>
    <x v="2"/>
    <x v="0"/>
    <x v="5"/>
    <s v="GE General Purpose, Extra Long Life, Showcase &amp; Floodlight Incandescent Bulbs"/>
    <n v="2.91"/>
    <n v="1"/>
    <n v="0"/>
    <n v="1.3676999999999999"/>
  </r>
  <r>
    <n v="448"/>
    <s v="CA-2018-166674"/>
    <x v="178"/>
    <x v="0"/>
    <x v="181"/>
    <s v="Auburn"/>
    <x v="15"/>
    <x v="3"/>
    <x v="1"/>
    <x v="6"/>
    <s v="Newell 345"/>
    <n v="59.519999999999996"/>
    <n v="3"/>
    <n v="0"/>
    <n v="15.475200000000001"/>
  </r>
  <r>
    <n v="449"/>
    <s v="CA-2018-166674"/>
    <x v="178"/>
    <x v="0"/>
    <x v="181"/>
    <s v="Auburn"/>
    <x v="15"/>
    <x v="3"/>
    <x v="1"/>
    <x v="4"/>
    <s v="Fellowes Bankers Box Recycled Super Stor/Drawer"/>
    <n v="161.94"/>
    <n v="3"/>
    <n v="0"/>
    <n v="9.716399999999993"/>
  </r>
  <r>
    <n v="450"/>
    <s v="CA-2018-166674"/>
    <x v="178"/>
    <x v="0"/>
    <x v="181"/>
    <s v="Auburn"/>
    <x v="15"/>
    <x v="3"/>
    <x v="1"/>
    <x v="6"/>
    <s v="Boston 1645 Deluxe Heavier-Duty Electric Pencil Sharpener"/>
    <n v="263.88"/>
    <n v="6"/>
    <n v="0"/>
    <n v="71.247600000000006"/>
  </r>
  <r>
    <n v="451"/>
    <s v="CA-2018-166674"/>
    <x v="178"/>
    <x v="0"/>
    <x v="181"/>
    <s v="Auburn"/>
    <x v="15"/>
    <x v="3"/>
    <x v="1"/>
    <x v="6"/>
    <s v="50 Colored Long Pencils"/>
    <n v="30.48"/>
    <n v="3"/>
    <n v="0"/>
    <n v="7.9248000000000012"/>
  </r>
  <r>
    <n v="452"/>
    <s v="CA-2018-166674"/>
    <x v="178"/>
    <x v="0"/>
    <x v="181"/>
    <s v="Auburn"/>
    <x v="15"/>
    <x v="3"/>
    <x v="1"/>
    <x v="6"/>
    <s v="Newell 342"/>
    <n v="9.84"/>
    <n v="3"/>
    <n v="0"/>
    <n v="2.8535999999999988"/>
  </r>
  <r>
    <n v="453"/>
    <s v="CA-2018-166674"/>
    <x v="178"/>
    <x v="0"/>
    <x v="181"/>
    <s v="Auburn"/>
    <x v="15"/>
    <x v="3"/>
    <x v="2"/>
    <x v="7"/>
    <s v="Belkin Grip Candy Sheer Case / Cover for iPhone 5 and 5S"/>
    <n v="35.119999999999997"/>
    <n v="4"/>
    <n v="0"/>
    <n v="9.1311999999999998"/>
  </r>
  <r>
    <n v="454"/>
    <s v="CA-2019-147277"/>
    <x v="179"/>
    <x v="1"/>
    <x v="182"/>
    <s v="Akron"/>
    <x v="24"/>
    <x v="3"/>
    <x v="0"/>
    <x v="3"/>
    <s v="Chromcraft Rectangular Conference Tables"/>
    <n v="284.36399999999998"/>
    <n v="2"/>
    <n v="0.4"/>
    <n v="-75.830400000000054"/>
  </r>
  <r>
    <n v="455"/>
    <s v="CA-2019-147277"/>
    <x v="179"/>
    <x v="1"/>
    <x v="182"/>
    <s v="Akron"/>
    <x v="24"/>
    <x v="3"/>
    <x v="1"/>
    <x v="4"/>
    <s v="Deluxe Rollaway Locking File with Drawer"/>
    <n v="665.40800000000002"/>
    <n v="2"/>
    <n v="0.2"/>
    <n v="66.540799999999962"/>
  </r>
  <r>
    <n v="456"/>
    <s v="CA-2018-100153"/>
    <x v="180"/>
    <x v="1"/>
    <x v="175"/>
    <s v="Norman"/>
    <x v="26"/>
    <x v="2"/>
    <x v="2"/>
    <x v="11"/>
    <s v="Memorex Mini Travel Drive 16 GB USB 2.0 Flash Drive"/>
    <n v="63.88"/>
    <n v="4"/>
    <n v="0"/>
    <n v="24.913200000000003"/>
  </r>
  <r>
    <n v="457"/>
    <s v="US-2016-110674"/>
    <x v="181"/>
    <x v="1"/>
    <x v="183"/>
    <s v="Concord"/>
    <x v="1"/>
    <x v="1"/>
    <x v="0"/>
    <x v="1"/>
    <s v="Global Geo Office Task Chair, Gray"/>
    <n v="129.56800000000001"/>
    <n v="2"/>
    <n v="0.2"/>
    <n v="-24.294000000000018"/>
  </r>
  <r>
    <n v="458"/>
    <s v="US-2018-157945"/>
    <x v="182"/>
    <x v="1"/>
    <x v="173"/>
    <s v="Decatur"/>
    <x v="10"/>
    <x v="2"/>
    <x v="0"/>
    <x v="1"/>
    <s v="Hon 4700 Series Mobuis Mid-Back Task Chairs with Adjustable Arms"/>
    <n v="747.55799999999999"/>
    <n v="3"/>
    <n v="0.3"/>
    <n v="-96.11460000000011"/>
  </r>
  <r>
    <n v="459"/>
    <s v="US-2018-157945"/>
    <x v="182"/>
    <x v="1"/>
    <x v="173"/>
    <s v="Decatur"/>
    <x v="10"/>
    <x v="2"/>
    <x v="1"/>
    <x v="12"/>
    <s v="Staple envelope"/>
    <n v="8.9280000000000008"/>
    <n v="2"/>
    <n v="0.2"/>
    <n v="3.3479999999999999"/>
  </r>
  <r>
    <n v="460"/>
    <s v="CA-2017-109638"/>
    <x v="83"/>
    <x v="1"/>
    <x v="98"/>
    <s v="Seattle"/>
    <x v="4"/>
    <x v="1"/>
    <x v="1"/>
    <x v="9"/>
    <s v="3M Office Air Cleaner"/>
    <n v="103.92"/>
    <n v="4"/>
    <n v="0"/>
    <n v="36.372"/>
  </r>
  <r>
    <n v="461"/>
    <s v="CA-2017-109638"/>
    <x v="83"/>
    <x v="1"/>
    <x v="98"/>
    <s v="Seattle"/>
    <x v="4"/>
    <x v="1"/>
    <x v="2"/>
    <x v="11"/>
    <s v="Logitech G700s Rechargeable Gaming Mouse"/>
    <n v="899.91"/>
    <n v="9"/>
    <n v="0"/>
    <n v="377.96220000000005"/>
  </r>
  <r>
    <n v="462"/>
    <s v="CA-2017-109638"/>
    <x v="83"/>
    <x v="1"/>
    <x v="98"/>
    <s v="Seattle"/>
    <x v="4"/>
    <x v="1"/>
    <x v="1"/>
    <x v="8"/>
    <s v="Acco D-Ring Binder w/DublLock"/>
    <n v="51.311999999999998"/>
    <n v="3"/>
    <n v="0.2"/>
    <n v="18.600599999999996"/>
  </r>
  <r>
    <n v="463"/>
    <s v="CA-2018-109869"/>
    <x v="183"/>
    <x v="1"/>
    <x v="184"/>
    <s v="Phoenix"/>
    <x v="16"/>
    <x v="1"/>
    <x v="0"/>
    <x v="5"/>
    <s v="Eldon Wave Desk Accessories"/>
    <n v="23.56"/>
    <n v="5"/>
    <n v="0.2"/>
    <n v="7.0680000000000005"/>
  </r>
  <r>
    <n v="464"/>
    <s v="CA-2018-109869"/>
    <x v="183"/>
    <x v="1"/>
    <x v="184"/>
    <s v="Phoenix"/>
    <x v="16"/>
    <x v="1"/>
    <x v="0"/>
    <x v="3"/>
    <s v="Bush Advantage Collection Racetrack Conference Table"/>
    <n v="1272.6299999999999"/>
    <n v="6"/>
    <n v="0.5"/>
    <n v="-814.4831999999999"/>
  </r>
  <r>
    <n v="465"/>
    <s v="CA-2018-109869"/>
    <x v="183"/>
    <x v="1"/>
    <x v="184"/>
    <s v="Phoenix"/>
    <x v="16"/>
    <x v="1"/>
    <x v="1"/>
    <x v="8"/>
    <s v="Poly Designer Cover &amp; Back"/>
    <n v="28.484999999999999"/>
    <n v="5"/>
    <n v="0.7"/>
    <n v="-20.888999999999989"/>
  </r>
  <r>
    <n v="466"/>
    <s v="CA-2018-109869"/>
    <x v="183"/>
    <x v="1"/>
    <x v="184"/>
    <s v="Phoenix"/>
    <x v="16"/>
    <x v="1"/>
    <x v="1"/>
    <x v="14"/>
    <s v="Premier Electric Letter Opener"/>
    <n v="185.376"/>
    <n v="2"/>
    <n v="0.2"/>
    <n v="-34.758000000000017"/>
  </r>
  <r>
    <n v="467"/>
    <s v="CA-2018-109869"/>
    <x v="183"/>
    <x v="1"/>
    <x v="184"/>
    <s v="Phoenix"/>
    <x v="16"/>
    <x v="1"/>
    <x v="1"/>
    <x v="9"/>
    <s v="Fellowes Premier Superior Surge Suppressor, 10-Outlet, With Phone and Remote"/>
    <n v="78.272000000000006"/>
    <n v="2"/>
    <n v="0.2"/>
    <n v="5.8704000000000001"/>
  </r>
  <r>
    <n v="468"/>
    <s v="US-2017-101399"/>
    <x v="184"/>
    <x v="1"/>
    <x v="185"/>
    <s v="Park Ridge"/>
    <x v="10"/>
    <x v="2"/>
    <x v="0"/>
    <x v="5"/>
    <s v="Eldon ClusterMat Chair Mat with Cordless Antistatic Protection"/>
    <n v="254.74400000000003"/>
    <n v="7"/>
    <n v="0.6"/>
    <n v="-312.06139999999994"/>
  </r>
  <r>
    <n v="469"/>
    <s v="CA-2019-154907"/>
    <x v="185"/>
    <x v="1"/>
    <x v="103"/>
    <s v="Amarillo"/>
    <x v="5"/>
    <x v="2"/>
    <x v="0"/>
    <x v="0"/>
    <s v="Bush Mission Pointe Library"/>
    <n v="205.33279999999996"/>
    <n v="2"/>
    <n v="0.32"/>
    <n v="-36.235200000000006"/>
  </r>
  <r>
    <n v="470"/>
    <s v="US-2018-100419"/>
    <x v="186"/>
    <x v="0"/>
    <x v="113"/>
    <s v="Chicago"/>
    <x v="10"/>
    <x v="2"/>
    <x v="1"/>
    <x v="8"/>
    <s v="Cardinal Hold-It CD Pocket"/>
    <n v="4.7879999999999985"/>
    <n v="3"/>
    <n v="0.8"/>
    <n v="-7.9001999999999999"/>
  </r>
  <r>
    <n v="471"/>
    <s v="CA-2017-154144"/>
    <x v="139"/>
    <x v="1"/>
    <x v="186"/>
    <s v="Lindenhurst"/>
    <x v="15"/>
    <x v="3"/>
    <x v="1"/>
    <x v="10"/>
    <s v="Eaton Premium Continuous-Feed Paper, 25% Cotton, Letter Size, White, 1000 Shts/Box"/>
    <n v="55.48"/>
    <n v="1"/>
    <n v="0"/>
    <n v="26.630399999999998"/>
  </r>
  <r>
    <n v="472"/>
    <s v="CA-2016-144666"/>
    <x v="187"/>
    <x v="0"/>
    <x v="187"/>
    <s v="San Francisco"/>
    <x v="1"/>
    <x v="1"/>
    <x v="1"/>
    <x v="4"/>
    <s v="SAFCO Boltless Steel Shelving"/>
    <n v="340.92"/>
    <n v="3"/>
    <n v="0"/>
    <n v="3.4091999999999842"/>
  </r>
  <r>
    <n v="473"/>
    <s v="CA-2016-144666"/>
    <x v="187"/>
    <x v="0"/>
    <x v="187"/>
    <s v="San Francisco"/>
    <x v="1"/>
    <x v="1"/>
    <x v="0"/>
    <x v="0"/>
    <s v="Sauder Mission Library with Doors, Fruitwood Finish"/>
    <n v="222.66599999999997"/>
    <n v="2"/>
    <n v="0.15"/>
    <n v="10.478399999999979"/>
  </r>
  <r>
    <n v="474"/>
    <s v="CA-2016-144666"/>
    <x v="187"/>
    <x v="0"/>
    <x v="187"/>
    <s v="San Francisco"/>
    <x v="1"/>
    <x v="1"/>
    <x v="2"/>
    <x v="7"/>
    <s v="Samsung Galaxy Note 3"/>
    <n v="703.96800000000007"/>
    <n v="4"/>
    <n v="0.2"/>
    <n v="87.995999999999924"/>
  </r>
  <r>
    <n v="475"/>
    <s v="CA-2016-144666"/>
    <x v="187"/>
    <x v="0"/>
    <x v="187"/>
    <s v="San Francisco"/>
    <x v="1"/>
    <x v="1"/>
    <x v="1"/>
    <x v="4"/>
    <s v="Decoflex Hanging Personal Folder File, Blue"/>
    <n v="92.52"/>
    <n v="6"/>
    <n v="0"/>
    <n v="24.980400000000007"/>
  </r>
  <r>
    <n v="476"/>
    <s v="CA-2016-144666"/>
    <x v="187"/>
    <x v="0"/>
    <x v="187"/>
    <s v="San Francisco"/>
    <x v="1"/>
    <x v="1"/>
    <x v="1"/>
    <x v="10"/>
    <s v="Recycled Desk Saver Line &quot;While You Were Out&quot; Book, 5 1/2&quot; X 4&quot;"/>
    <n v="62.649999999999991"/>
    <n v="7"/>
    <n v="0"/>
    <n v="28.818999999999996"/>
  </r>
  <r>
    <n v="477"/>
    <s v="CA-2016-144666"/>
    <x v="187"/>
    <x v="0"/>
    <x v="187"/>
    <s v="San Francisco"/>
    <x v="1"/>
    <x v="1"/>
    <x v="1"/>
    <x v="10"/>
    <s v="Xerox 1912"/>
    <n v="94.85"/>
    <n v="5"/>
    <n v="0"/>
    <n v="45.527999999999992"/>
  </r>
  <r>
    <n v="478"/>
    <s v="CA-2018-103891"/>
    <x v="188"/>
    <x v="1"/>
    <x v="120"/>
    <s v="Los Angeles"/>
    <x v="1"/>
    <x v="1"/>
    <x v="2"/>
    <x v="7"/>
    <s v="Cisco SPA525G2 IP Phone - Wireless"/>
    <n v="95.76"/>
    <n v="6"/>
    <n v="0.2"/>
    <n v="7.1819999999999951"/>
  </r>
  <r>
    <n v="479"/>
    <s v="CA-2018-152632"/>
    <x v="189"/>
    <x v="1"/>
    <x v="188"/>
    <s v="Troy"/>
    <x v="15"/>
    <x v="3"/>
    <x v="0"/>
    <x v="5"/>
    <s v="Electrix 20W Halogen Replacement Bulb for Zoom-In Desk Lamp"/>
    <n v="40.200000000000003"/>
    <n v="3"/>
    <n v="0"/>
    <n v="19.295999999999999"/>
  </r>
  <r>
    <n v="480"/>
    <s v="CA-2018-100790"/>
    <x v="190"/>
    <x v="1"/>
    <x v="189"/>
    <s v="New York City"/>
    <x v="15"/>
    <x v="3"/>
    <x v="1"/>
    <x v="6"/>
    <s v="Prang Colored Pencils"/>
    <n v="14.7"/>
    <n v="5"/>
    <n v="0"/>
    <n v="6.6150000000000002"/>
  </r>
  <r>
    <n v="481"/>
    <s v="CA-2018-100790"/>
    <x v="190"/>
    <x v="1"/>
    <x v="189"/>
    <s v="New York City"/>
    <x v="15"/>
    <x v="3"/>
    <x v="1"/>
    <x v="4"/>
    <s v="Fellowes Strictly Business Drawer File, Letter/Legal Size"/>
    <n v="704.25"/>
    <n v="5"/>
    <n v="0"/>
    <n v="84.51"/>
  </r>
  <r>
    <n v="482"/>
    <s v="CA-2016-134677"/>
    <x v="191"/>
    <x v="1"/>
    <x v="190"/>
    <s v="San Diego"/>
    <x v="1"/>
    <x v="1"/>
    <x v="2"/>
    <x v="11"/>
    <s v="Imation USB 2.0 Swivel Flash Drive USB flash drive - 4 GB - Pink"/>
    <n v="9.09"/>
    <n v="3"/>
    <n v="0"/>
    <n v="1.9088999999999996"/>
  </r>
  <r>
    <n v="483"/>
    <s v="CA-2016-127691"/>
    <x v="192"/>
    <x v="1"/>
    <x v="191"/>
    <s v="New York City"/>
    <x v="15"/>
    <x v="3"/>
    <x v="1"/>
    <x v="6"/>
    <s v="Premium Writing Pencils, Soft, #2 by Central Association for the Blind"/>
    <n v="5.96"/>
    <n v="2"/>
    <n v="0"/>
    <n v="1.6688000000000001"/>
  </r>
  <r>
    <n v="484"/>
    <s v="CA-2016-127691"/>
    <x v="192"/>
    <x v="1"/>
    <x v="191"/>
    <s v="New York City"/>
    <x v="15"/>
    <x v="3"/>
    <x v="2"/>
    <x v="11"/>
    <s v="Logitech G602 Wireless Gaming Mouse"/>
    <n v="159.97999999999999"/>
    <n v="2"/>
    <n v="0"/>
    <n v="57.592799999999997"/>
  </r>
  <r>
    <n v="485"/>
    <s v="CA-2019-140963"/>
    <x v="193"/>
    <x v="2"/>
    <x v="192"/>
    <s v="Los Angeles"/>
    <x v="1"/>
    <x v="1"/>
    <x v="1"/>
    <x v="2"/>
    <s v="Alphabetical Labels for Top Tab Filing"/>
    <n v="29.6"/>
    <n v="2"/>
    <n v="0"/>
    <n v="14.8"/>
  </r>
  <r>
    <n v="486"/>
    <s v="CA-2019-140963"/>
    <x v="193"/>
    <x v="2"/>
    <x v="192"/>
    <s v="Los Angeles"/>
    <x v="1"/>
    <x v="1"/>
    <x v="0"/>
    <x v="0"/>
    <s v="O'Sullivan Living Dimensions 2-Shelf Bookcases"/>
    <n v="514.16499999999996"/>
    <n v="5"/>
    <n v="0.15"/>
    <n v="-30.24499999999999"/>
  </r>
  <r>
    <n v="487"/>
    <s v="CA-2019-140963"/>
    <x v="193"/>
    <x v="2"/>
    <x v="192"/>
    <s v="Los Angeles"/>
    <x v="1"/>
    <x v="1"/>
    <x v="2"/>
    <x v="7"/>
    <s v="iHome FM Clock Radio with Lightning Dock"/>
    <n v="279.95999999999998"/>
    <n v="5"/>
    <n v="0.2"/>
    <n v="17.497500000000016"/>
  </r>
  <r>
    <n v="488"/>
    <s v="CA-2016-154627"/>
    <x v="194"/>
    <x v="2"/>
    <x v="193"/>
    <s v="Chicago"/>
    <x v="10"/>
    <x v="2"/>
    <x v="2"/>
    <x v="7"/>
    <s v="Apple iPhone 5S"/>
    <n v="2735.9520000000002"/>
    <n v="6"/>
    <n v="0.2"/>
    <n v="341.99399999999969"/>
  </r>
  <r>
    <n v="489"/>
    <s v="CA-2016-133753"/>
    <x v="3"/>
    <x v="0"/>
    <x v="194"/>
    <s v="Huntsville"/>
    <x v="5"/>
    <x v="2"/>
    <x v="2"/>
    <x v="7"/>
    <s v="Square Credit Card Reader"/>
    <n v="7.9920000000000009"/>
    <n v="1"/>
    <n v="0.2"/>
    <n v="0.59940000000000015"/>
  </r>
  <r>
    <n v="490"/>
    <s v="CA-2016-133753"/>
    <x v="3"/>
    <x v="0"/>
    <x v="194"/>
    <s v="Huntsville"/>
    <x v="5"/>
    <x v="2"/>
    <x v="2"/>
    <x v="11"/>
    <s v="Logitech M510 Wireless Mouse"/>
    <n v="63.984000000000009"/>
    <n v="2"/>
    <n v="0.2"/>
    <n v="10.397399999999998"/>
  </r>
  <r>
    <n v="491"/>
    <s v="CA-2016-133753"/>
    <x v="3"/>
    <x v="0"/>
    <x v="194"/>
    <s v="Huntsville"/>
    <x v="5"/>
    <x v="2"/>
    <x v="1"/>
    <x v="6"/>
    <s v="Boston 1645 Deluxe Heavier-Duty Electric Pencil Sharpener"/>
    <n v="70.367999999999995"/>
    <n v="2"/>
    <n v="0.2"/>
    <n v="6.1572000000000031"/>
  </r>
  <r>
    <n v="492"/>
    <s v="CA-2016-113362"/>
    <x v="80"/>
    <x v="1"/>
    <x v="195"/>
    <s v="Rochester"/>
    <x v="15"/>
    <x v="3"/>
    <x v="1"/>
    <x v="4"/>
    <s v="Fellowes Officeware Wire Shelving"/>
    <n v="449.15"/>
    <n v="5"/>
    <n v="0"/>
    <n v="8.9829999999999899"/>
  </r>
  <r>
    <n v="493"/>
    <s v="CA-2016-113362"/>
    <x v="80"/>
    <x v="1"/>
    <x v="195"/>
    <s v="Rochester"/>
    <x v="15"/>
    <x v="3"/>
    <x v="1"/>
    <x v="12"/>
    <s v="Colored Envelopes"/>
    <n v="11.07"/>
    <n v="3"/>
    <n v="0"/>
    <n v="5.0921999999999992"/>
  </r>
  <r>
    <n v="494"/>
    <s v="CA-2018-169166"/>
    <x v="195"/>
    <x v="1"/>
    <x v="196"/>
    <s v="Seattle"/>
    <x v="4"/>
    <x v="1"/>
    <x v="2"/>
    <x v="11"/>
    <s v="Sony Micro Vault Click 8 GB USB 2.0 Flash Drive"/>
    <n v="93.98"/>
    <n v="2"/>
    <n v="0"/>
    <n v="13.157200000000003"/>
  </r>
  <r>
    <n v="495"/>
    <s v="US-2018-120929"/>
    <x v="196"/>
    <x v="0"/>
    <x v="197"/>
    <s v="Memphis"/>
    <x v="18"/>
    <x v="0"/>
    <x v="0"/>
    <x v="3"/>
    <s v="Balt Solid Wood Rectangular Table"/>
    <n v="189.88200000000001"/>
    <n v="3"/>
    <n v="0.4"/>
    <n v="-94.941000000000017"/>
  </r>
  <r>
    <n v="496"/>
    <s v="CA-2017-134782"/>
    <x v="17"/>
    <x v="1"/>
    <x v="198"/>
    <s v="Fayetteville"/>
    <x v="36"/>
    <x v="0"/>
    <x v="1"/>
    <x v="12"/>
    <s v="Strathmore #10 Envelopes, Ultimate White"/>
    <n v="105.42"/>
    <n v="2"/>
    <n v="0"/>
    <n v="51.655799999999999"/>
  </r>
  <r>
    <n v="497"/>
    <s v="CA-2018-126158"/>
    <x v="197"/>
    <x v="1"/>
    <x v="183"/>
    <s v="Costa Mesa"/>
    <x v="1"/>
    <x v="1"/>
    <x v="1"/>
    <x v="8"/>
    <s v="Clear Mylar Reinforcing Strips"/>
    <n v="119.61600000000001"/>
    <n v="8"/>
    <n v="0.2"/>
    <n v="40.370399999999997"/>
  </r>
  <r>
    <n v="498"/>
    <s v="CA-2018-126158"/>
    <x v="197"/>
    <x v="1"/>
    <x v="183"/>
    <s v="Costa Mesa"/>
    <x v="1"/>
    <x v="1"/>
    <x v="0"/>
    <x v="5"/>
    <s v="Howard Miller 14-1/2&quot; Diameter Chrome Round Wall Clock"/>
    <n v="255.76"/>
    <n v="4"/>
    <n v="0"/>
    <n v="81.843199999999996"/>
  </r>
  <r>
    <n v="499"/>
    <s v="CA-2018-126158"/>
    <x v="197"/>
    <x v="1"/>
    <x v="183"/>
    <s v="Costa Mesa"/>
    <x v="1"/>
    <x v="1"/>
    <x v="0"/>
    <x v="1"/>
    <s v="DMI Arturo Collection Mission-style Design Wood Chair"/>
    <n v="241.56799999999998"/>
    <n v="2"/>
    <n v="0.2"/>
    <n v="18.11760000000001"/>
  </r>
  <r>
    <n v="500"/>
    <s v="CA-2018-126158"/>
    <x v="197"/>
    <x v="1"/>
    <x v="183"/>
    <s v="Costa Mesa"/>
    <x v="1"/>
    <x v="1"/>
    <x v="0"/>
    <x v="5"/>
    <s v="Deflect-O Glasstique Clear Desk Accessories"/>
    <n v="69.3"/>
    <n v="9"/>
    <n v="0"/>
    <n v="22.868999999999996"/>
  </r>
  <r>
    <n v="501"/>
    <s v="US-2018-105578"/>
    <x v="198"/>
    <x v="1"/>
    <x v="199"/>
    <s v="Parker"/>
    <x v="22"/>
    <x v="1"/>
    <x v="1"/>
    <x v="8"/>
    <s v="Vinyl Sectional Post Binders"/>
    <n v="22.620000000000005"/>
    <n v="2"/>
    <n v="0.7"/>
    <n v="-15.079999999999998"/>
  </r>
  <r>
    <n v="502"/>
    <s v="US-2018-105578"/>
    <x v="198"/>
    <x v="1"/>
    <x v="199"/>
    <s v="Parker"/>
    <x v="22"/>
    <x v="1"/>
    <x v="1"/>
    <x v="8"/>
    <s v="GBC Standard Therm-A-Bind Covers"/>
    <n v="14.952000000000004"/>
    <n v="2"/>
    <n v="0.7"/>
    <n v="-11.961599999999997"/>
  </r>
  <r>
    <n v="503"/>
    <s v="US-2018-105578"/>
    <x v="198"/>
    <x v="1"/>
    <x v="199"/>
    <s v="Parker"/>
    <x v="22"/>
    <x v="1"/>
    <x v="0"/>
    <x v="1"/>
    <s v="Global Troy Executive Leather Low-Back Tilter"/>
    <n v="801.5680000000001"/>
    <n v="2"/>
    <n v="0.2"/>
    <n v="50.097999999999985"/>
  </r>
  <r>
    <n v="504"/>
    <s v="US-2018-105578"/>
    <x v="198"/>
    <x v="1"/>
    <x v="199"/>
    <s v="Parker"/>
    <x v="22"/>
    <x v="1"/>
    <x v="1"/>
    <x v="8"/>
    <s v="Storex Flexible Poly Binders with Double Pockets"/>
    <n v="2.3760000000000003"/>
    <n v="3"/>
    <n v="0.7"/>
    <n v="-1.9007999999999998"/>
  </r>
  <r>
    <n v="505"/>
    <s v="US-2018-105578"/>
    <x v="198"/>
    <x v="1"/>
    <x v="199"/>
    <s v="Parker"/>
    <x v="22"/>
    <x v="1"/>
    <x v="1"/>
    <x v="10"/>
    <s v="White Dual Perf Computer Printout Paper, 2700 Sheets, 1 Part, Heavyweight, 20 lbs., 14 7/8 x 11"/>
    <n v="32.792000000000002"/>
    <n v="1"/>
    <n v="0.2"/>
    <n v="11.8871"/>
  </r>
  <r>
    <n v="506"/>
    <s v="CA-2019-134978"/>
    <x v="105"/>
    <x v="0"/>
    <x v="182"/>
    <s v="New York City"/>
    <x v="15"/>
    <x v="3"/>
    <x v="1"/>
    <x v="8"/>
    <s v="Avery Durable Slant Ring Binders, No Labels"/>
    <n v="15.920000000000002"/>
    <n v="5"/>
    <n v="0.2"/>
    <n v="5.3729999999999993"/>
  </r>
  <r>
    <n v="507"/>
    <s v="CA-2017-145352"/>
    <x v="199"/>
    <x v="1"/>
    <x v="200"/>
    <s v="Atlanta"/>
    <x v="32"/>
    <x v="0"/>
    <x v="1"/>
    <x v="6"/>
    <s v="Rogers Handheld Barrel Pencil Sharpener"/>
    <n v="2.74"/>
    <n v="1"/>
    <n v="0"/>
    <n v="0.73980000000000024"/>
  </r>
  <r>
    <n v="508"/>
    <s v="CA-2017-145352"/>
    <x v="199"/>
    <x v="1"/>
    <x v="200"/>
    <s v="Atlanta"/>
    <x v="32"/>
    <x v="0"/>
    <x v="1"/>
    <x v="6"/>
    <s v="Newell 344"/>
    <n v="8.34"/>
    <n v="3"/>
    <n v="0"/>
    <n v="2.1683999999999997"/>
  </r>
  <r>
    <n v="509"/>
    <s v="CA-2017-145352"/>
    <x v="199"/>
    <x v="1"/>
    <x v="200"/>
    <s v="Atlanta"/>
    <x v="32"/>
    <x v="0"/>
    <x v="1"/>
    <x v="4"/>
    <s v="Personal File Boxes with Fold-Down Carry Handle"/>
    <n v="46.74"/>
    <n v="3"/>
    <n v="0"/>
    <n v="11.684999999999999"/>
  </r>
  <r>
    <n v="510"/>
    <s v="CA-2017-145352"/>
    <x v="199"/>
    <x v="1"/>
    <x v="200"/>
    <s v="Atlanta"/>
    <x v="32"/>
    <x v="0"/>
    <x v="1"/>
    <x v="8"/>
    <s v="Fellowes PB500 Electric Punch Plastic Comb Binding Machine with Manual Bind"/>
    <n v="6354.95"/>
    <n v="5"/>
    <n v="0"/>
    <n v="3177.4749999999999"/>
  </r>
  <r>
    <n v="511"/>
    <s v="CA-2019-135307"/>
    <x v="200"/>
    <x v="2"/>
    <x v="201"/>
    <s v="Gladstone"/>
    <x v="25"/>
    <x v="2"/>
    <x v="0"/>
    <x v="5"/>
    <s v="Executive Impressions Supervisor Wall Clock"/>
    <n v="126.30000000000001"/>
    <n v="3"/>
    <n v="0"/>
    <n v="40.415999999999997"/>
  </r>
  <r>
    <n v="512"/>
    <s v="CA-2019-135307"/>
    <x v="200"/>
    <x v="2"/>
    <x v="201"/>
    <s v="Gladstone"/>
    <x v="25"/>
    <x v="2"/>
    <x v="2"/>
    <x v="11"/>
    <s v="SanDisk Cruzer 32 GB USB Flash Drive"/>
    <n v="38.04"/>
    <n v="2"/>
    <n v="0"/>
    <n v="12.172799999999999"/>
  </r>
  <r>
    <n v="513"/>
    <s v="CA-2018-106341"/>
    <x v="201"/>
    <x v="2"/>
    <x v="166"/>
    <s v="Newark"/>
    <x v="24"/>
    <x v="3"/>
    <x v="1"/>
    <x v="6"/>
    <s v="Premium Writing Pencils, Soft, #2 by Central Association for the Blind"/>
    <n v="7.1519999999999992"/>
    <n v="3"/>
    <n v="0.2"/>
    <n v="0.71520000000000028"/>
  </r>
  <r>
    <n v="514"/>
    <s v="CA-2019-163405"/>
    <x v="202"/>
    <x v="1"/>
    <x v="202"/>
    <s v="Los Angeles"/>
    <x v="1"/>
    <x v="1"/>
    <x v="1"/>
    <x v="6"/>
    <s v="Newell 327"/>
    <n v="6.63"/>
    <n v="3"/>
    <n v="0"/>
    <n v="1.7901"/>
  </r>
  <r>
    <n v="515"/>
    <s v="CA-2019-163405"/>
    <x v="202"/>
    <x v="1"/>
    <x v="202"/>
    <s v="Los Angeles"/>
    <x v="1"/>
    <x v="1"/>
    <x v="1"/>
    <x v="6"/>
    <s v="Newell 317"/>
    <n v="5.88"/>
    <n v="2"/>
    <n v="0"/>
    <n v="1.7051999999999996"/>
  </r>
  <r>
    <n v="516"/>
    <s v="CA-2019-127432"/>
    <x v="203"/>
    <x v="1"/>
    <x v="57"/>
    <s v="Great Falls"/>
    <x v="37"/>
    <x v="1"/>
    <x v="2"/>
    <x v="16"/>
    <s v="Canon Image Class D660 Copier"/>
    <n v="2999.95"/>
    <n v="5"/>
    <n v="0"/>
    <n v="1379.9769999999999"/>
  </r>
  <r>
    <n v="517"/>
    <s v="CA-2019-127432"/>
    <x v="203"/>
    <x v="1"/>
    <x v="57"/>
    <s v="Great Falls"/>
    <x v="37"/>
    <x v="1"/>
    <x v="1"/>
    <x v="4"/>
    <s v="Advantus Rolling Storage Box"/>
    <n v="51.449999999999996"/>
    <n v="3"/>
    <n v="0"/>
    <n v="13.891499999999999"/>
  </r>
  <r>
    <n v="518"/>
    <s v="CA-2019-127432"/>
    <x v="203"/>
    <x v="1"/>
    <x v="57"/>
    <s v="Great Falls"/>
    <x v="37"/>
    <x v="1"/>
    <x v="1"/>
    <x v="10"/>
    <s v="Great White Multi-Use Recycled Paper (20Lb. and 84 Bright)"/>
    <n v="11.96"/>
    <n v="2"/>
    <n v="0"/>
    <n v="5.3819999999999997"/>
  </r>
  <r>
    <n v="519"/>
    <s v="CA-2019-127432"/>
    <x v="203"/>
    <x v="1"/>
    <x v="57"/>
    <s v="Great Falls"/>
    <x v="37"/>
    <x v="1"/>
    <x v="1"/>
    <x v="4"/>
    <s v="Tennsco Single-Tier Lockers"/>
    <n v="1126.02"/>
    <n v="3"/>
    <n v="0"/>
    <n v="56.300999999999988"/>
  </r>
  <r>
    <n v="520"/>
    <s v="CA-2017-157812"/>
    <x v="204"/>
    <x v="1"/>
    <x v="203"/>
    <s v="Houston"/>
    <x v="5"/>
    <x v="2"/>
    <x v="2"/>
    <x v="11"/>
    <s v="Verbatim 25 GB 6x Blu-ray Single Layer Recordable Disc, 25/Pack"/>
    <n v="18.391999999999999"/>
    <n v="1"/>
    <n v="0.2"/>
    <n v="5.2877000000000001"/>
  </r>
  <r>
    <n v="521"/>
    <s v="CA-2017-157812"/>
    <x v="204"/>
    <x v="1"/>
    <x v="203"/>
    <s v="Houston"/>
    <x v="5"/>
    <x v="2"/>
    <x v="1"/>
    <x v="4"/>
    <s v="Carina Double Wide Media Storage Towers in Natural &amp; Black"/>
    <n v="129.56800000000001"/>
    <n v="2"/>
    <n v="0.2"/>
    <n v="-25.91360000000001"/>
  </r>
  <r>
    <n v="522"/>
    <s v="CA-2017-157812"/>
    <x v="204"/>
    <x v="1"/>
    <x v="203"/>
    <s v="Houston"/>
    <x v="5"/>
    <x v="2"/>
    <x v="1"/>
    <x v="8"/>
    <s v="XtraLife ClearVue Slant-D Ring Binders by Cardinal"/>
    <n v="14.111999999999997"/>
    <n v="9"/>
    <n v="0.8"/>
    <n v="-21.167999999999999"/>
  </r>
  <r>
    <n v="523"/>
    <s v="CA-2019-145142"/>
    <x v="205"/>
    <x v="2"/>
    <x v="204"/>
    <s v="Detroit"/>
    <x v="12"/>
    <x v="2"/>
    <x v="0"/>
    <x v="3"/>
    <s v="Balt Solid Wood Rectangular Table"/>
    <n v="210.98"/>
    <n v="2"/>
    <n v="0"/>
    <n v="21.097999999999985"/>
  </r>
  <r>
    <n v="524"/>
    <s v="US-2018-139486"/>
    <x v="206"/>
    <x v="2"/>
    <x v="109"/>
    <s v="Los Angeles"/>
    <x v="1"/>
    <x v="1"/>
    <x v="2"/>
    <x v="7"/>
    <s v="Motorola HK250 Universal Bluetooth Headset"/>
    <n v="55.176000000000002"/>
    <n v="3"/>
    <n v="0.2"/>
    <n v="-12.414599999999997"/>
  </r>
  <r>
    <n v="525"/>
    <s v="US-2018-139486"/>
    <x v="206"/>
    <x v="2"/>
    <x v="109"/>
    <s v="Los Angeles"/>
    <x v="1"/>
    <x v="1"/>
    <x v="2"/>
    <x v="11"/>
    <s v="Imation 16GB Mini TravelDrive USB 2.0 Flash Drive"/>
    <n v="66.260000000000005"/>
    <n v="2"/>
    <n v="0"/>
    <n v="27.166600000000003"/>
  </r>
  <r>
    <n v="526"/>
    <s v="CA-2017-158792"/>
    <x v="207"/>
    <x v="1"/>
    <x v="205"/>
    <s v="Lawrence"/>
    <x v="31"/>
    <x v="3"/>
    <x v="1"/>
    <x v="13"/>
    <s v="Staples"/>
    <n v="22.200000000000003"/>
    <n v="5"/>
    <n v="0"/>
    <n v="10.434000000000001"/>
  </r>
  <r>
    <n v="527"/>
    <s v="CA-2019-113558"/>
    <x v="208"/>
    <x v="1"/>
    <x v="206"/>
    <s v="Lakeland"/>
    <x v="2"/>
    <x v="0"/>
    <x v="0"/>
    <x v="1"/>
    <s v="Global Commerce Series High-Back Swivel/Tilt Chairs"/>
    <n v="683.95200000000011"/>
    <n v="3"/>
    <n v="0.2"/>
    <n v="42.746999999999986"/>
  </r>
  <r>
    <n v="528"/>
    <s v="CA-2019-113558"/>
    <x v="208"/>
    <x v="1"/>
    <x v="206"/>
    <s v="Lakeland"/>
    <x v="2"/>
    <x v="0"/>
    <x v="0"/>
    <x v="5"/>
    <s v="Eldon Expressions Desk Accessory, Wood Photo Frame, Mahogany"/>
    <n v="45.695999999999998"/>
    <n v="3"/>
    <n v="0.2"/>
    <n v="5.1407999999999916"/>
  </r>
  <r>
    <n v="529"/>
    <s v="US-2017-138303"/>
    <x v="37"/>
    <x v="1"/>
    <x v="207"/>
    <s v="Philadelphia"/>
    <x v="9"/>
    <x v="3"/>
    <x v="1"/>
    <x v="4"/>
    <s v="Eldon Gobal File Keepers"/>
    <n v="36.336000000000006"/>
    <n v="3"/>
    <n v="0.2"/>
    <n v="-7.2672000000000043"/>
  </r>
  <r>
    <n v="530"/>
    <s v="US-2017-138303"/>
    <x v="37"/>
    <x v="1"/>
    <x v="207"/>
    <s v="Philadelphia"/>
    <x v="9"/>
    <x v="3"/>
    <x v="1"/>
    <x v="14"/>
    <s v="Martin Yale Chadless Opener Electric Letter Opener"/>
    <n v="666.24800000000005"/>
    <n v="1"/>
    <n v="0.2"/>
    <n v="-149.9058"/>
  </r>
  <r>
    <n v="531"/>
    <s v="US-2017-138303"/>
    <x v="37"/>
    <x v="1"/>
    <x v="207"/>
    <s v="Philadelphia"/>
    <x v="9"/>
    <x v="3"/>
    <x v="1"/>
    <x v="12"/>
    <s v="White Business Envelopes with Contemporary Seam, Recycled White Business Envelopes"/>
    <n v="52.512"/>
    <n v="6"/>
    <n v="0.2"/>
    <n v="19.692"/>
  </r>
  <r>
    <n v="532"/>
    <s v="CA-2017-102848"/>
    <x v="209"/>
    <x v="0"/>
    <x v="208"/>
    <s v="Los Angeles"/>
    <x v="1"/>
    <x v="1"/>
    <x v="0"/>
    <x v="1"/>
    <s v="Safco Contoured Stacking Chairs"/>
    <n v="190.72000000000003"/>
    <n v="1"/>
    <n v="0.2"/>
    <n v="11.919999999999987"/>
  </r>
  <r>
    <n v="533"/>
    <s v="US-2019-129441"/>
    <x v="210"/>
    <x v="1"/>
    <x v="209"/>
    <s v="Los Angeles"/>
    <x v="1"/>
    <x v="1"/>
    <x v="0"/>
    <x v="5"/>
    <s v="Tenex Chairmats For Use With Carpeted Floors"/>
    <n v="47.94"/>
    <n v="3"/>
    <n v="0"/>
    <n v="2.3969999999999985"/>
  </r>
  <r>
    <n v="534"/>
    <s v="CA-2018-168753"/>
    <x v="211"/>
    <x v="0"/>
    <x v="210"/>
    <s v="Montgomery"/>
    <x v="19"/>
    <x v="0"/>
    <x v="2"/>
    <x v="7"/>
    <s v="Panasonic KX-TG9471B"/>
    <n v="979.95"/>
    <n v="5"/>
    <n v="0"/>
    <n v="274.38600000000008"/>
  </r>
  <r>
    <n v="535"/>
    <s v="CA-2018-168753"/>
    <x v="211"/>
    <x v="0"/>
    <x v="210"/>
    <s v="Montgomery"/>
    <x v="19"/>
    <x v="0"/>
    <x v="1"/>
    <x v="8"/>
    <s v="Presstex Flexible Ring Binders"/>
    <n v="22.75"/>
    <n v="5"/>
    <n v="0"/>
    <n v="11.375"/>
  </r>
  <r>
    <n v="536"/>
    <s v="CA-2018-126613"/>
    <x v="212"/>
    <x v="1"/>
    <x v="211"/>
    <s v="Mesa"/>
    <x v="16"/>
    <x v="1"/>
    <x v="1"/>
    <x v="4"/>
    <s v="Sterilite Officeware Hinged File Box"/>
    <n v="16.768000000000001"/>
    <n v="2"/>
    <n v="0.2"/>
    <n v="1.4672000000000001"/>
  </r>
  <r>
    <n v="537"/>
    <s v="US-2019-122637"/>
    <x v="213"/>
    <x v="0"/>
    <x v="212"/>
    <s v="Chicago"/>
    <x v="10"/>
    <x v="2"/>
    <x v="1"/>
    <x v="8"/>
    <s v="Premier Elliptical Ring Binder, Black"/>
    <n v="42.615999999999993"/>
    <n v="7"/>
    <n v="0.8"/>
    <n v="-68.185600000000022"/>
  </r>
  <r>
    <n v="538"/>
    <s v="CA-2017-147851"/>
    <x v="155"/>
    <x v="1"/>
    <x v="88"/>
    <s v="New York City"/>
    <x v="15"/>
    <x v="3"/>
    <x v="1"/>
    <x v="8"/>
    <s v="Cardinal Poly Pocket Divider Pockets for Ring Binders"/>
    <n v="10.752000000000001"/>
    <n v="4"/>
    <n v="0.2"/>
    <n v="3.359999999999999"/>
  </r>
  <r>
    <n v="539"/>
    <s v="CA-2017-134894"/>
    <x v="214"/>
    <x v="1"/>
    <x v="213"/>
    <s v="Henderson"/>
    <x v="0"/>
    <x v="0"/>
    <x v="1"/>
    <x v="9"/>
    <s v="Eureka The Boss Cordless Rechargeable Stick Vac"/>
    <n v="152.94"/>
    <n v="3"/>
    <n v="0"/>
    <n v="41.293800000000005"/>
  </r>
  <r>
    <n v="540"/>
    <s v="CA-2017-134894"/>
    <x v="214"/>
    <x v="1"/>
    <x v="213"/>
    <s v="Henderson"/>
    <x v="0"/>
    <x v="0"/>
    <x v="0"/>
    <x v="1"/>
    <s v="Situations Contoured Folding Chairs, 4/Set"/>
    <n v="283.92"/>
    <n v="4"/>
    <n v="0"/>
    <n v="70.980000000000018"/>
  </r>
  <r>
    <n v="541"/>
    <s v="CA-2016-140795"/>
    <x v="215"/>
    <x v="2"/>
    <x v="214"/>
    <s v="Green Bay"/>
    <x v="6"/>
    <x v="2"/>
    <x v="2"/>
    <x v="11"/>
    <s v="Enermax Aurora Lite Keyboard"/>
    <n v="468.90000000000003"/>
    <n v="6"/>
    <n v="0"/>
    <n v="206.31600000000006"/>
  </r>
  <r>
    <n v="542"/>
    <s v="CA-2018-136924"/>
    <x v="216"/>
    <x v="2"/>
    <x v="20"/>
    <s v="Tucson"/>
    <x v="16"/>
    <x v="1"/>
    <x v="2"/>
    <x v="7"/>
    <s v="LG Electronics Tone+ HBS-730 Bluetooth Headset"/>
    <n v="380.86400000000003"/>
    <n v="8"/>
    <n v="0.2"/>
    <n v="38.086400000000026"/>
  </r>
  <r>
    <n v="543"/>
    <s v="US-2017-120161"/>
    <x v="217"/>
    <x v="1"/>
    <x v="215"/>
    <s v="Springfield"/>
    <x v="24"/>
    <x v="3"/>
    <x v="1"/>
    <x v="4"/>
    <s v="Fellowes Officeware Wire Shelving"/>
    <n v="646.77600000000007"/>
    <n v="9"/>
    <n v="0.2"/>
    <n v="-145.52460000000002"/>
  </r>
  <r>
    <n v="544"/>
    <s v="CA-2016-103849"/>
    <x v="218"/>
    <x v="1"/>
    <x v="38"/>
    <s v="Fort Worth"/>
    <x v="5"/>
    <x v="2"/>
    <x v="2"/>
    <x v="11"/>
    <s v="SanDisk Cruzer 64 GB USB Flash Drive"/>
    <n v="58.112000000000002"/>
    <n v="2"/>
    <n v="0.2"/>
    <n v="7.263999999999994"/>
  </r>
  <r>
    <n v="545"/>
    <s v="CA-2016-103849"/>
    <x v="218"/>
    <x v="1"/>
    <x v="38"/>
    <s v="Fort Worth"/>
    <x v="5"/>
    <x v="2"/>
    <x v="2"/>
    <x v="7"/>
    <s v="Xblue XB-1670-86 X16 Small Office Telephone - Titanium"/>
    <n v="100.792"/>
    <n v="1"/>
    <n v="0.2"/>
    <n v="6.2995000000000019"/>
  </r>
  <r>
    <n v="546"/>
    <s v="CA-2016-103849"/>
    <x v="218"/>
    <x v="1"/>
    <x v="38"/>
    <s v="Fort Worth"/>
    <x v="5"/>
    <x v="2"/>
    <x v="0"/>
    <x v="5"/>
    <s v="Deflect-o EconoMat Studded, No Bevel Mat for Low Pile Carpeting"/>
    <n v="66.112000000000009"/>
    <n v="4"/>
    <n v="0.6"/>
    <n v="-84.292799999999986"/>
  </r>
  <r>
    <n v="547"/>
    <s v="CA-2019-162929"/>
    <x v="123"/>
    <x v="2"/>
    <x v="216"/>
    <s v="New York City"/>
    <x v="15"/>
    <x v="3"/>
    <x v="1"/>
    <x v="8"/>
    <s v="Avery Printable Repositionable Plastic Tabs"/>
    <n v="41.28"/>
    <n v="6"/>
    <n v="0.2"/>
    <n v="13.931999999999999"/>
  </r>
  <r>
    <n v="548"/>
    <s v="CA-2019-162929"/>
    <x v="123"/>
    <x v="2"/>
    <x v="216"/>
    <s v="New York City"/>
    <x v="15"/>
    <x v="3"/>
    <x v="1"/>
    <x v="10"/>
    <s v="Xerox 1898"/>
    <n v="13.36"/>
    <n v="2"/>
    <n v="0"/>
    <n v="6.4127999999999998"/>
  </r>
  <r>
    <n v="549"/>
    <s v="CA-2017-113173"/>
    <x v="219"/>
    <x v="0"/>
    <x v="158"/>
    <s v="Chicago"/>
    <x v="10"/>
    <x v="2"/>
    <x v="1"/>
    <x v="4"/>
    <s v="Home/Office Personal File Carts"/>
    <n v="250.27199999999999"/>
    <n v="9"/>
    <n v="0.2"/>
    <n v="15.641999999999982"/>
  </r>
  <r>
    <n v="550"/>
    <s v="CA-2017-113173"/>
    <x v="219"/>
    <x v="0"/>
    <x v="158"/>
    <s v="Chicago"/>
    <x v="10"/>
    <x v="2"/>
    <x v="1"/>
    <x v="8"/>
    <s v="Flexible Leather- Look Classic Collection Ring Binder"/>
    <n v="11.363999999999997"/>
    <n v="3"/>
    <n v="0.8"/>
    <n v="-17.045999999999999"/>
  </r>
  <r>
    <n v="551"/>
    <s v="CA-2017-113173"/>
    <x v="219"/>
    <x v="0"/>
    <x v="158"/>
    <s v="Chicago"/>
    <x v="10"/>
    <x v="2"/>
    <x v="1"/>
    <x v="14"/>
    <s v="Staple remover"/>
    <n v="8.7200000000000006"/>
    <n v="5"/>
    <n v="0.2"/>
    <n v="-1.7440000000000015"/>
  </r>
  <r>
    <n v="552"/>
    <s v="CA-2018-136406"/>
    <x v="173"/>
    <x v="0"/>
    <x v="217"/>
    <s v="San Francisco"/>
    <x v="1"/>
    <x v="1"/>
    <x v="0"/>
    <x v="1"/>
    <s v="HON 5400 Series Task Chairs for Big and Tall"/>
    <n v="1121.568"/>
    <n v="2"/>
    <n v="0.2"/>
    <n v="0"/>
  </r>
  <r>
    <n v="553"/>
    <s v="CA-2019-112774"/>
    <x v="220"/>
    <x v="2"/>
    <x v="53"/>
    <s v="Jacksonville"/>
    <x v="2"/>
    <x v="0"/>
    <x v="0"/>
    <x v="5"/>
    <s v="Howard Miller 11-1/2&quot; Diameter Grantwood Wall Clock"/>
    <n v="34.504000000000005"/>
    <n v="1"/>
    <n v="0.2"/>
    <n v="6.0381999999999998"/>
  </r>
  <r>
    <n v="554"/>
    <s v="CA-2019-101945"/>
    <x v="221"/>
    <x v="1"/>
    <x v="218"/>
    <s v="Houston"/>
    <x v="5"/>
    <x v="2"/>
    <x v="1"/>
    <x v="13"/>
    <s v="Advantus T-Pin Paper Clips"/>
    <n v="10.824"/>
    <n v="3"/>
    <n v="0.2"/>
    <n v="2.5707"/>
  </r>
  <r>
    <n v="555"/>
    <s v="CA-2019-100650"/>
    <x v="222"/>
    <x v="0"/>
    <x v="158"/>
    <s v="Anaheim"/>
    <x v="1"/>
    <x v="1"/>
    <x v="1"/>
    <x v="4"/>
    <s v="Tennsco 16-Compartment Lockers with Coat Rack"/>
    <n v="1295.78"/>
    <n v="2"/>
    <n v="0"/>
    <n v="310.98720000000003"/>
  </r>
  <r>
    <n v="556"/>
    <s v="CA-2016-155852"/>
    <x v="223"/>
    <x v="0"/>
    <x v="219"/>
    <s v="Wilmington"/>
    <x v="3"/>
    <x v="0"/>
    <x v="1"/>
    <x v="6"/>
    <s v="Zebra Zazzle Fluorescent Highlighters"/>
    <n v="19.456000000000003"/>
    <n v="4"/>
    <n v="0.2"/>
    <n v="3.4047999999999981"/>
  </r>
  <r>
    <n v="557"/>
    <s v="CA-2018-113243"/>
    <x v="224"/>
    <x v="1"/>
    <x v="220"/>
    <s v="Los Angeles"/>
    <x v="1"/>
    <x v="1"/>
    <x v="1"/>
    <x v="2"/>
    <s v="Avery 473"/>
    <n v="20.7"/>
    <n v="2"/>
    <n v="0"/>
    <n v="9.9359999999999999"/>
  </r>
  <r>
    <n v="558"/>
    <s v="CA-2018-113243"/>
    <x v="224"/>
    <x v="1"/>
    <x v="220"/>
    <s v="Los Angeles"/>
    <x v="1"/>
    <x v="1"/>
    <x v="0"/>
    <x v="3"/>
    <s v="Bretford “Just In Time” Height-Adjustable Multi-Task Work Tables"/>
    <n v="1335.68"/>
    <n v="4"/>
    <n v="0.2"/>
    <n v="-217.04800000000017"/>
  </r>
  <r>
    <n v="559"/>
    <s v="CA-2018-113243"/>
    <x v="224"/>
    <x v="1"/>
    <x v="220"/>
    <s v="Los Angeles"/>
    <x v="1"/>
    <x v="1"/>
    <x v="1"/>
    <x v="10"/>
    <s v="Xerox 226"/>
    <n v="32.400000000000006"/>
    <n v="5"/>
    <n v="0"/>
    <n v="15.552000000000001"/>
  </r>
  <r>
    <n v="560"/>
    <s v="CA-2019-118731"/>
    <x v="225"/>
    <x v="0"/>
    <x v="221"/>
    <s v="San Francisco"/>
    <x v="1"/>
    <x v="1"/>
    <x v="0"/>
    <x v="5"/>
    <s v="Coloredge Poster Frame"/>
    <n v="42.599999999999994"/>
    <n v="3"/>
    <n v="0"/>
    <n v="16.614000000000001"/>
  </r>
  <r>
    <n v="561"/>
    <s v="CA-2019-118731"/>
    <x v="225"/>
    <x v="0"/>
    <x v="221"/>
    <s v="San Francisco"/>
    <x v="1"/>
    <x v="1"/>
    <x v="1"/>
    <x v="8"/>
    <s v="GBC Prepunched Paper, 19-Hole, for Binding Systems, 24-lb"/>
    <n v="84.056000000000012"/>
    <n v="7"/>
    <n v="0.2"/>
    <n v="27.318199999999983"/>
  </r>
  <r>
    <n v="562"/>
    <s v="CA-2016-145576"/>
    <x v="80"/>
    <x v="0"/>
    <x v="222"/>
    <s v="Tampa"/>
    <x v="2"/>
    <x v="0"/>
    <x v="1"/>
    <x v="9"/>
    <s v="Sanitaire Vibra Groomer IR Commercial Upright Vacuum, Replacement Belts"/>
    <n v="13"/>
    <n v="5"/>
    <n v="0.2"/>
    <n v="1.3000000000000007"/>
  </r>
  <r>
    <n v="563"/>
    <s v="CA-2016-145576"/>
    <x v="80"/>
    <x v="0"/>
    <x v="222"/>
    <s v="Tampa"/>
    <x v="2"/>
    <x v="0"/>
    <x v="0"/>
    <x v="5"/>
    <s v="Advantus Panel Wall Acrylic Frame"/>
    <n v="13.128"/>
    <n v="3"/>
    <n v="0.2"/>
    <n v="3.7743000000000002"/>
  </r>
  <r>
    <n v="564"/>
    <s v="CA-2017-130736"/>
    <x v="214"/>
    <x v="2"/>
    <x v="223"/>
    <s v="Seattle"/>
    <x v="4"/>
    <x v="1"/>
    <x v="1"/>
    <x v="13"/>
    <s v="Alliance Big Bands Rubber Bands, 12/Pack"/>
    <n v="3.96"/>
    <n v="2"/>
    <n v="0"/>
    <n v="0"/>
  </r>
  <r>
    <n v="565"/>
    <s v="CA-2017-130736"/>
    <x v="214"/>
    <x v="2"/>
    <x v="223"/>
    <s v="Seattle"/>
    <x v="4"/>
    <x v="1"/>
    <x v="1"/>
    <x v="2"/>
    <s v="Avery 509"/>
    <n v="2.61"/>
    <n v="1"/>
    <n v="0"/>
    <n v="1.2005999999999999"/>
  </r>
  <r>
    <n v="566"/>
    <s v="CA-2019-137099"/>
    <x v="226"/>
    <x v="2"/>
    <x v="224"/>
    <s v="Los Angeles"/>
    <x v="1"/>
    <x v="1"/>
    <x v="2"/>
    <x v="7"/>
    <s v="Cisco SPA301"/>
    <n v="374.37600000000003"/>
    <n v="3"/>
    <n v="0.2"/>
    <n v="46.796999999999983"/>
  </r>
  <r>
    <n v="567"/>
    <s v="CA-2019-156951"/>
    <x v="172"/>
    <x v="1"/>
    <x v="225"/>
    <s v="Seattle"/>
    <x v="4"/>
    <x v="1"/>
    <x v="1"/>
    <x v="10"/>
    <s v="Personal Creations Ink Jet Cards and Labels"/>
    <n v="91.84"/>
    <n v="8"/>
    <n v="0"/>
    <n v="45.001600000000003"/>
  </r>
  <r>
    <n v="568"/>
    <s v="CA-2019-156951"/>
    <x v="172"/>
    <x v="1"/>
    <x v="225"/>
    <s v="Seattle"/>
    <x v="4"/>
    <x v="1"/>
    <x v="1"/>
    <x v="8"/>
    <s v="GBC White Gloss Covers, Plain Front"/>
    <n v="81.088000000000008"/>
    <n v="7"/>
    <n v="0.2"/>
    <n v="27.3672"/>
  </r>
  <r>
    <n v="569"/>
    <s v="CA-2019-156951"/>
    <x v="172"/>
    <x v="1"/>
    <x v="225"/>
    <s v="Seattle"/>
    <x v="4"/>
    <x v="1"/>
    <x v="1"/>
    <x v="10"/>
    <s v="Xerox 222"/>
    <n v="19.440000000000001"/>
    <n v="3"/>
    <n v="0"/>
    <n v="9.3312000000000008"/>
  </r>
  <r>
    <n v="570"/>
    <s v="CA-2019-156951"/>
    <x v="172"/>
    <x v="1"/>
    <x v="225"/>
    <s v="Seattle"/>
    <x v="4"/>
    <x v="1"/>
    <x v="0"/>
    <x v="1"/>
    <s v="Hon Every-Day Series Multi-Task Chairs"/>
    <n v="451.15199999999993"/>
    <n v="3"/>
    <n v="0.2"/>
    <n v="0"/>
  </r>
  <r>
    <n v="571"/>
    <s v="CA-2019-164826"/>
    <x v="116"/>
    <x v="1"/>
    <x v="226"/>
    <s v="New York City"/>
    <x v="15"/>
    <x v="3"/>
    <x v="1"/>
    <x v="2"/>
    <s v="Avery 473"/>
    <n v="72.45"/>
    <n v="7"/>
    <n v="0"/>
    <n v="34.775999999999996"/>
  </r>
  <r>
    <n v="572"/>
    <s v="CA-2019-164826"/>
    <x v="116"/>
    <x v="1"/>
    <x v="226"/>
    <s v="New York City"/>
    <x v="15"/>
    <x v="3"/>
    <x v="1"/>
    <x v="13"/>
    <s v="OIC Bulk Pack Metal Binder Clips"/>
    <n v="13.96"/>
    <n v="4"/>
    <n v="0"/>
    <n v="6.4215999999999998"/>
  </r>
  <r>
    <n v="573"/>
    <s v="CA-2019-164826"/>
    <x v="116"/>
    <x v="1"/>
    <x v="226"/>
    <s v="New York City"/>
    <x v="15"/>
    <x v="3"/>
    <x v="1"/>
    <x v="8"/>
    <s v="Storex Dura Pro Binders"/>
    <n v="33.264000000000003"/>
    <n v="7"/>
    <n v="0.2"/>
    <n v="11.226599999999999"/>
  </r>
  <r>
    <n v="574"/>
    <s v="CA-2019-164826"/>
    <x v="116"/>
    <x v="1"/>
    <x v="226"/>
    <s v="New York City"/>
    <x v="15"/>
    <x v="3"/>
    <x v="2"/>
    <x v="7"/>
    <s v="Cush Cases Heavy Duty Rugged Cover Case for Samsung Galaxy S5 - Purple"/>
    <n v="14.850000000000001"/>
    <n v="3"/>
    <n v="0"/>
    <n v="4.0095000000000001"/>
  </r>
  <r>
    <n v="575"/>
    <s v="CA-2018-127250"/>
    <x v="54"/>
    <x v="1"/>
    <x v="227"/>
    <s v="Marysville"/>
    <x v="4"/>
    <x v="1"/>
    <x v="1"/>
    <x v="6"/>
    <s v="Newell 332"/>
    <n v="8.82"/>
    <n v="3"/>
    <n v="0"/>
    <n v="2.3814000000000002"/>
  </r>
  <r>
    <n v="576"/>
    <s v="CA-2017-149713"/>
    <x v="227"/>
    <x v="0"/>
    <x v="228"/>
    <s v="Long Beach"/>
    <x v="1"/>
    <x v="1"/>
    <x v="1"/>
    <x v="10"/>
    <s v="Personal Creations Ink Jet Cards and Labels"/>
    <n v="160.72"/>
    <n v="14"/>
    <n v="0"/>
    <n v="78.752800000000008"/>
  </r>
  <r>
    <n v="577"/>
    <s v="CA-2017-149713"/>
    <x v="227"/>
    <x v="0"/>
    <x v="228"/>
    <s v="Long Beach"/>
    <x v="1"/>
    <x v="1"/>
    <x v="1"/>
    <x v="10"/>
    <s v="Rediform S.O.S. Phone Message Books"/>
    <n v="19.920000000000002"/>
    <n v="4"/>
    <n v="0"/>
    <n v="9.7608000000000015"/>
  </r>
  <r>
    <n v="578"/>
    <s v="CA-2017-149713"/>
    <x v="227"/>
    <x v="0"/>
    <x v="228"/>
    <s v="Long Beach"/>
    <x v="1"/>
    <x v="1"/>
    <x v="1"/>
    <x v="14"/>
    <s v="Acme Value Line Scissors"/>
    <n v="7.3"/>
    <n v="2"/>
    <n v="0"/>
    <n v="2.1899999999999995"/>
  </r>
  <r>
    <n v="579"/>
    <s v="CA-2019-118640"/>
    <x v="228"/>
    <x v="1"/>
    <x v="229"/>
    <s v="Chicago"/>
    <x v="10"/>
    <x v="2"/>
    <x v="1"/>
    <x v="4"/>
    <s v="Trav-L-File Heavy-Duty Shuttle II, Black"/>
    <n v="69.712000000000003"/>
    <n v="2"/>
    <n v="0.2"/>
    <n v="8.7139999999999951"/>
  </r>
  <r>
    <n v="580"/>
    <s v="CA-2019-118640"/>
    <x v="228"/>
    <x v="1"/>
    <x v="229"/>
    <s v="Chicago"/>
    <x v="10"/>
    <x v="2"/>
    <x v="0"/>
    <x v="5"/>
    <s v="Contract Clock, 14&quot;, Brown"/>
    <n v="8.7919999999999998"/>
    <n v="1"/>
    <n v="0.6"/>
    <n v="-5.7148000000000003"/>
  </r>
  <r>
    <n v="581"/>
    <s v="CA-2017-132906"/>
    <x v="229"/>
    <x v="1"/>
    <x v="230"/>
    <s v="Los Angeles"/>
    <x v="1"/>
    <x v="1"/>
    <x v="1"/>
    <x v="14"/>
    <s v="Martin-Yale Premier Letter Opener"/>
    <n v="51.52"/>
    <n v="4"/>
    <n v="0"/>
    <n v="1.5456000000000003"/>
  </r>
  <r>
    <n v="582"/>
    <s v="CA-2019-145233"/>
    <x v="96"/>
    <x v="1"/>
    <x v="231"/>
    <s v="Denver"/>
    <x v="22"/>
    <x v="1"/>
    <x v="2"/>
    <x v="7"/>
    <s v="GE 30524EE4"/>
    <n v="470.37600000000009"/>
    <n v="3"/>
    <n v="0.2"/>
    <n v="52.917299999999955"/>
  </r>
  <r>
    <n v="583"/>
    <s v="CA-2019-145233"/>
    <x v="96"/>
    <x v="1"/>
    <x v="231"/>
    <s v="Denver"/>
    <x v="22"/>
    <x v="1"/>
    <x v="2"/>
    <x v="7"/>
    <s v="AT&amp;T SB67148 SynJ"/>
    <n v="105.584"/>
    <n v="2"/>
    <n v="0.2"/>
    <n v="9.2386000000000053"/>
  </r>
  <r>
    <n v="584"/>
    <s v="CA-2019-145233"/>
    <x v="96"/>
    <x v="1"/>
    <x v="231"/>
    <s v="Denver"/>
    <x v="22"/>
    <x v="1"/>
    <x v="1"/>
    <x v="9"/>
    <s v="Fellowes Basic Home/Office Series Surge Protectors"/>
    <n v="31.152000000000001"/>
    <n v="3"/>
    <n v="0.2"/>
    <n v="3.5045999999999964"/>
  </r>
  <r>
    <n v="585"/>
    <s v="CA-2019-145233"/>
    <x v="96"/>
    <x v="1"/>
    <x v="231"/>
    <s v="Denver"/>
    <x v="22"/>
    <x v="1"/>
    <x v="1"/>
    <x v="8"/>
    <s v="Recycled Pressboard Report Cover with Reinforced Top Hinge"/>
    <n v="6.7830000000000004"/>
    <n v="7"/>
    <n v="0.7"/>
    <n v="-4.7480999999999973"/>
  </r>
  <r>
    <n v="586"/>
    <s v="CA-2019-145233"/>
    <x v="96"/>
    <x v="1"/>
    <x v="231"/>
    <s v="Denver"/>
    <x v="22"/>
    <x v="1"/>
    <x v="2"/>
    <x v="7"/>
    <s v="Jabra BIZ 2300 Duo QD Duo Corded Headset"/>
    <n v="406.36799999999999"/>
    <n v="4"/>
    <n v="0.2"/>
    <n v="30.477599999999981"/>
  </r>
  <r>
    <n v="587"/>
    <s v="CA-2017-128139"/>
    <x v="230"/>
    <x v="1"/>
    <x v="232"/>
    <s v="Richmond"/>
    <x v="0"/>
    <x v="0"/>
    <x v="0"/>
    <x v="1"/>
    <s v="Novimex High-Tech Fabric Mesh Task Chair"/>
    <n v="70.98"/>
    <n v="1"/>
    <n v="0"/>
    <n v="4.968599999999995"/>
  </r>
  <r>
    <n v="588"/>
    <s v="CA-2017-128139"/>
    <x v="230"/>
    <x v="1"/>
    <x v="232"/>
    <s v="Richmond"/>
    <x v="0"/>
    <x v="0"/>
    <x v="1"/>
    <x v="2"/>
    <s v="Dot Matrix Printer Tape Reel Labels, White, 5000/Box"/>
    <n v="294.93"/>
    <n v="3"/>
    <n v="0"/>
    <n v="144.51570000000001"/>
  </r>
  <r>
    <n v="589"/>
    <s v="US-2018-156986"/>
    <x v="231"/>
    <x v="1"/>
    <x v="233"/>
    <s v="Salem"/>
    <x v="21"/>
    <x v="1"/>
    <x v="2"/>
    <x v="7"/>
    <s v="i.Sound Portable Power - 8000 mAh"/>
    <n v="84.784000000000006"/>
    <n v="2"/>
    <n v="0.2"/>
    <n v="-20.136200000000006"/>
  </r>
  <r>
    <n v="590"/>
    <s v="US-2018-156986"/>
    <x v="231"/>
    <x v="1"/>
    <x v="233"/>
    <s v="Salem"/>
    <x v="21"/>
    <x v="1"/>
    <x v="1"/>
    <x v="10"/>
    <s v="Xerox 225"/>
    <n v="20.736000000000004"/>
    <n v="4"/>
    <n v="0.2"/>
    <n v="7.2576000000000001"/>
  </r>
  <r>
    <n v="591"/>
    <s v="US-2018-156986"/>
    <x v="231"/>
    <x v="1"/>
    <x v="233"/>
    <s v="Salem"/>
    <x v="21"/>
    <x v="1"/>
    <x v="1"/>
    <x v="8"/>
    <s v="Clear Mylar Reinforcing Strips"/>
    <n v="16.821000000000005"/>
    <n v="3"/>
    <n v="0.7"/>
    <n v="-12.896100000000004"/>
  </r>
  <r>
    <n v="592"/>
    <s v="US-2018-156986"/>
    <x v="231"/>
    <x v="1"/>
    <x v="233"/>
    <s v="Salem"/>
    <x v="21"/>
    <x v="1"/>
    <x v="1"/>
    <x v="10"/>
    <s v="Xerox 1894"/>
    <n v="10.368000000000002"/>
    <n v="2"/>
    <n v="0.2"/>
    <n v="3.6288"/>
  </r>
  <r>
    <n v="593"/>
    <s v="CA-2016-135405"/>
    <x v="232"/>
    <x v="1"/>
    <x v="234"/>
    <s v="Laredo"/>
    <x v="5"/>
    <x v="2"/>
    <x v="1"/>
    <x v="6"/>
    <s v="Newell 312"/>
    <n v="9.3439999999999994"/>
    <n v="2"/>
    <n v="0.2"/>
    <n v="1.1679999999999997"/>
  </r>
  <r>
    <n v="594"/>
    <s v="CA-2016-135405"/>
    <x v="232"/>
    <x v="1"/>
    <x v="234"/>
    <s v="Laredo"/>
    <x v="5"/>
    <x v="2"/>
    <x v="2"/>
    <x v="11"/>
    <s v="Memorex Micro Travel Drive 8 GB"/>
    <n v="31.200000000000003"/>
    <n v="3"/>
    <n v="0.2"/>
    <n v="9.7499999999999964"/>
  </r>
  <r>
    <n v="595"/>
    <s v="CA-2016-131450"/>
    <x v="233"/>
    <x v="1"/>
    <x v="235"/>
    <s v="San Diego"/>
    <x v="1"/>
    <x v="1"/>
    <x v="1"/>
    <x v="9"/>
    <s v="Fellowes Superior 10 Outlet Split Surge Protector"/>
    <n v="76.12"/>
    <n v="2"/>
    <n v="0"/>
    <n v="22.074799999999996"/>
  </r>
  <r>
    <n v="596"/>
    <s v="CA-2016-131450"/>
    <x v="233"/>
    <x v="1"/>
    <x v="235"/>
    <s v="San Diego"/>
    <x v="1"/>
    <x v="1"/>
    <x v="2"/>
    <x v="16"/>
    <s v="Sharp AL-1530CS Digital Copier"/>
    <n v="1199.9760000000001"/>
    <n v="3"/>
    <n v="0.2"/>
    <n v="434.99130000000002"/>
  </r>
  <r>
    <n v="597"/>
    <s v="CA-2016-131450"/>
    <x v="233"/>
    <x v="1"/>
    <x v="235"/>
    <s v="San Diego"/>
    <x v="1"/>
    <x v="1"/>
    <x v="2"/>
    <x v="7"/>
    <s v="AT&amp;T 1070 Corded Phone"/>
    <n v="445.96000000000004"/>
    <n v="5"/>
    <n v="0.2"/>
    <n v="55.744999999999948"/>
  </r>
  <r>
    <n v="598"/>
    <s v="CA-2016-131450"/>
    <x v="233"/>
    <x v="1"/>
    <x v="235"/>
    <s v="San Diego"/>
    <x v="1"/>
    <x v="1"/>
    <x v="0"/>
    <x v="5"/>
    <s v="Dana Halogen Swing-Arm Architect Lamp"/>
    <n v="327.76"/>
    <n v="8"/>
    <n v="0"/>
    <n v="91.772800000000018"/>
  </r>
  <r>
    <n v="599"/>
    <s v="CA-2018-120180"/>
    <x v="216"/>
    <x v="2"/>
    <x v="236"/>
    <s v="Philadelphia"/>
    <x v="9"/>
    <x v="3"/>
    <x v="1"/>
    <x v="14"/>
    <s v="Acme Stainless Steel Office Snips"/>
    <n v="11.632"/>
    <n v="2"/>
    <n v="0.2"/>
    <n v="1.0178000000000007"/>
  </r>
  <r>
    <n v="600"/>
    <s v="US-2018-100720"/>
    <x v="87"/>
    <x v="1"/>
    <x v="237"/>
    <s v="Philadelphia"/>
    <x v="9"/>
    <x v="3"/>
    <x v="2"/>
    <x v="7"/>
    <s v="Mophie Juice Pack Helium for iPhone"/>
    <n v="143.98199999999997"/>
    <n v="3"/>
    <n v="0.4"/>
    <n v="-28.796400000000006"/>
  </r>
  <r>
    <n v="601"/>
    <s v="US-2018-100720"/>
    <x v="87"/>
    <x v="1"/>
    <x v="237"/>
    <s v="Philadelphia"/>
    <x v="9"/>
    <x v="3"/>
    <x v="2"/>
    <x v="7"/>
    <s v="GE 2-Jack Phone Line Splitter"/>
    <n v="494.37599999999998"/>
    <n v="4"/>
    <n v="0.4"/>
    <n v="-115.35440000000006"/>
  </r>
  <r>
    <n v="602"/>
    <s v="US-2018-100720"/>
    <x v="87"/>
    <x v="1"/>
    <x v="237"/>
    <s v="Philadelphia"/>
    <x v="9"/>
    <x v="3"/>
    <x v="1"/>
    <x v="14"/>
    <s v="Acme Value Line Scissors"/>
    <n v="5.84"/>
    <n v="2"/>
    <n v="0.2"/>
    <n v="0.72999999999999954"/>
  </r>
  <r>
    <n v="603"/>
    <s v="CA-2016-149958"/>
    <x v="234"/>
    <x v="1"/>
    <x v="238"/>
    <s v="Tampa"/>
    <x v="2"/>
    <x v="0"/>
    <x v="1"/>
    <x v="4"/>
    <s v="Hot File 7-Pocket, Floor Stand"/>
    <n v="142.77600000000001"/>
    <n v="1"/>
    <n v="0.2"/>
    <n v="17.84699999999998"/>
  </r>
  <r>
    <n v="604"/>
    <s v="CA-2016-149958"/>
    <x v="234"/>
    <x v="1"/>
    <x v="238"/>
    <s v="Tampa"/>
    <x v="2"/>
    <x v="0"/>
    <x v="0"/>
    <x v="5"/>
    <s v="Eldon Expressions Desk Accessory, Wood Photo Frame, Mahogany"/>
    <n v="45.695999999999998"/>
    <n v="3"/>
    <n v="0.2"/>
    <n v="5.1407999999999916"/>
  </r>
  <r>
    <n v="605"/>
    <s v="CA-2016-149958"/>
    <x v="234"/>
    <x v="1"/>
    <x v="238"/>
    <s v="Tampa"/>
    <x v="2"/>
    <x v="0"/>
    <x v="1"/>
    <x v="8"/>
    <s v="Insertable Tab Post Binder Dividers"/>
    <n v="7.218"/>
    <n v="3"/>
    <n v="0.7"/>
    <n v="-5.5338000000000012"/>
  </r>
  <r>
    <n v="606"/>
    <s v="CA-2016-149958"/>
    <x v="234"/>
    <x v="1"/>
    <x v="238"/>
    <s v="Tampa"/>
    <x v="2"/>
    <x v="0"/>
    <x v="1"/>
    <x v="8"/>
    <s v="GBC VeloBinder Manual Binding System"/>
    <n v="43.188000000000009"/>
    <n v="4"/>
    <n v="0.7"/>
    <n v="-31.671199999999999"/>
  </r>
  <r>
    <n v="607"/>
    <s v="CA-2016-149958"/>
    <x v="234"/>
    <x v="1"/>
    <x v="238"/>
    <s v="Tampa"/>
    <x v="2"/>
    <x v="0"/>
    <x v="1"/>
    <x v="10"/>
    <s v="Xerox 1889"/>
    <n v="131.904"/>
    <n v="3"/>
    <n v="0.2"/>
    <n v="47.815200000000004"/>
  </r>
  <r>
    <n v="608"/>
    <s v="US-2016-105767"/>
    <x v="235"/>
    <x v="1"/>
    <x v="239"/>
    <s v="Philadelphia"/>
    <x v="9"/>
    <x v="3"/>
    <x v="1"/>
    <x v="8"/>
    <s v="Angle-D Ring Binders"/>
    <n v="3.2820000000000005"/>
    <n v="2"/>
    <n v="0.7"/>
    <n v="-2.6256000000000004"/>
  </r>
  <r>
    <n v="609"/>
    <s v="US-2016-105767"/>
    <x v="235"/>
    <x v="1"/>
    <x v="239"/>
    <s v="Philadelphia"/>
    <x v="9"/>
    <x v="3"/>
    <x v="1"/>
    <x v="6"/>
    <s v="Newell 317"/>
    <n v="21.167999999999999"/>
    <n v="9"/>
    <n v="0.2"/>
    <n v="2.3813999999999984"/>
  </r>
  <r>
    <n v="610"/>
    <s v="US-2016-105767"/>
    <x v="235"/>
    <x v="1"/>
    <x v="239"/>
    <s v="Philadelphia"/>
    <x v="9"/>
    <x v="3"/>
    <x v="2"/>
    <x v="7"/>
    <s v="Motorola L804"/>
    <n v="55.188000000000002"/>
    <n v="2"/>
    <n v="0.4"/>
    <n v="-10.117800000000003"/>
  </r>
  <r>
    <n v="611"/>
    <s v="CA-2018-161816"/>
    <x v="236"/>
    <x v="2"/>
    <x v="240"/>
    <s v="Dallas"/>
    <x v="5"/>
    <x v="2"/>
    <x v="2"/>
    <x v="7"/>
    <s v="Nortel Meridian M3904 Professional Digital phone"/>
    <n v="369.57600000000002"/>
    <n v="3"/>
    <n v="0.2"/>
    <n v="41.577299999999951"/>
  </r>
  <r>
    <n v="612"/>
    <s v="CA-2018-161816"/>
    <x v="236"/>
    <x v="2"/>
    <x v="240"/>
    <s v="Dallas"/>
    <x v="5"/>
    <x v="2"/>
    <x v="1"/>
    <x v="2"/>
    <s v="Avery 493"/>
    <n v="15.712000000000002"/>
    <n v="4"/>
    <n v="0.2"/>
    <n v="5.6955999999999989"/>
  </r>
  <r>
    <n v="613"/>
    <s v="CA-2018-121223"/>
    <x v="108"/>
    <x v="0"/>
    <x v="241"/>
    <s v="Philadelphia"/>
    <x v="9"/>
    <x v="3"/>
    <x v="1"/>
    <x v="10"/>
    <s v="Xerox 1972"/>
    <n v="8.4480000000000004"/>
    <n v="2"/>
    <n v="0.2"/>
    <n v="2.6399999999999997"/>
  </r>
  <r>
    <n v="614"/>
    <s v="CA-2018-121223"/>
    <x v="108"/>
    <x v="0"/>
    <x v="241"/>
    <s v="Philadelphia"/>
    <x v="9"/>
    <x v="3"/>
    <x v="2"/>
    <x v="7"/>
    <s v="Cisco 8x8 Inc. 6753i IP Business Phone System"/>
    <n v="728.94600000000003"/>
    <n v="9"/>
    <n v="0.4"/>
    <n v="-157.93830000000008"/>
  </r>
  <r>
    <n v="615"/>
    <s v="CA-2019-138611"/>
    <x v="237"/>
    <x v="0"/>
    <x v="242"/>
    <s v="Grove City"/>
    <x v="24"/>
    <x v="3"/>
    <x v="2"/>
    <x v="7"/>
    <s v="PureGear Roll-On Screen Protector"/>
    <n v="119.93999999999998"/>
    <n v="10"/>
    <n v="0.4"/>
    <n v="15.99199999999999"/>
  </r>
  <r>
    <n v="616"/>
    <s v="CA-2019-138611"/>
    <x v="237"/>
    <x v="0"/>
    <x v="242"/>
    <s v="Grove City"/>
    <x v="24"/>
    <x v="3"/>
    <x v="1"/>
    <x v="8"/>
    <s v="Prestige Round Ring Binders"/>
    <n v="3.6480000000000006"/>
    <n v="2"/>
    <n v="0.7"/>
    <n v="-2.7967999999999993"/>
  </r>
  <r>
    <n v="617"/>
    <s v="CA-2019-117947"/>
    <x v="238"/>
    <x v="0"/>
    <x v="243"/>
    <s v="New York City"/>
    <x v="15"/>
    <x v="3"/>
    <x v="0"/>
    <x v="5"/>
    <s v="DAX Metal Frame, Desktop, Stepped-Edge"/>
    <n v="40.479999999999997"/>
    <n v="2"/>
    <n v="0"/>
    <n v="15.787199999999999"/>
  </r>
  <r>
    <n v="618"/>
    <s v="CA-2019-117947"/>
    <x v="238"/>
    <x v="0"/>
    <x v="243"/>
    <s v="New York City"/>
    <x v="15"/>
    <x v="3"/>
    <x v="0"/>
    <x v="5"/>
    <s v="DAX Value U-Channel Document Frames, Easel Back"/>
    <n v="9.94"/>
    <n v="2"/>
    <n v="0"/>
    <n v="3.0813999999999995"/>
  </r>
  <r>
    <n v="619"/>
    <s v="CA-2019-117947"/>
    <x v="238"/>
    <x v="0"/>
    <x v="243"/>
    <s v="New York City"/>
    <x v="15"/>
    <x v="3"/>
    <x v="1"/>
    <x v="8"/>
    <s v="Recycled Easel Ring Binders"/>
    <n v="107.42400000000001"/>
    <n v="9"/>
    <n v="0.2"/>
    <n v="33.569999999999986"/>
  </r>
  <r>
    <n v="620"/>
    <s v="CA-2019-117947"/>
    <x v="238"/>
    <x v="0"/>
    <x v="243"/>
    <s v="New York City"/>
    <x v="15"/>
    <x v="3"/>
    <x v="2"/>
    <x v="7"/>
    <s v="Grandstream GXP1160 VoIP phone"/>
    <n v="37.909999999999997"/>
    <n v="1"/>
    <n v="0"/>
    <n v="10.993899999999996"/>
  </r>
  <r>
    <n v="621"/>
    <s v="CA-2019-117947"/>
    <x v="238"/>
    <x v="0"/>
    <x v="243"/>
    <s v="New York City"/>
    <x v="15"/>
    <x v="3"/>
    <x v="0"/>
    <x v="5"/>
    <s v="Seth Thomas 14&quot; Putty-Colored Wall Clock"/>
    <n v="88.02"/>
    <n v="3"/>
    <n v="0"/>
    <n v="27.286199999999994"/>
  </r>
  <r>
    <n v="622"/>
    <s v="US-2016-111171"/>
    <x v="58"/>
    <x v="1"/>
    <x v="244"/>
    <s v="Chicago"/>
    <x v="10"/>
    <x v="2"/>
    <x v="1"/>
    <x v="8"/>
    <s v="Cardinal Slant-D Ring Binder, Heavy Gauge Vinyl"/>
    <n v="8.6899999999999977"/>
    <n v="5"/>
    <n v="0.8"/>
    <n v="-14.773"/>
  </r>
  <r>
    <n v="623"/>
    <s v="CA-2017-138009"/>
    <x v="239"/>
    <x v="1"/>
    <x v="245"/>
    <s v="Dearborn"/>
    <x v="12"/>
    <x v="2"/>
    <x v="0"/>
    <x v="1"/>
    <s v="Global Manager's Adjustable Task Chair, Storm"/>
    <n v="301.95999999999998"/>
    <n v="2"/>
    <n v="0"/>
    <n v="87.568399999999968"/>
  </r>
  <r>
    <n v="624"/>
    <s v="CA-2017-138009"/>
    <x v="239"/>
    <x v="1"/>
    <x v="245"/>
    <s v="Dearborn"/>
    <x v="12"/>
    <x v="2"/>
    <x v="1"/>
    <x v="9"/>
    <s v="Honeywell Enviracaire Portable HEPA Air Cleaner for up to 10 x 16 Room"/>
    <n v="555.21"/>
    <n v="5"/>
    <n v="0.1"/>
    <n v="178.90100000000001"/>
  </r>
  <r>
    <n v="625"/>
    <s v="CA-2017-138009"/>
    <x v="239"/>
    <x v="1"/>
    <x v="245"/>
    <s v="Dearborn"/>
    <x v="12"/>
    <x v="2"/>
    <x v="1"/>
    <x v="4"/>
    <s v="Mini 13-1/2 Capacity Data Binder Rack, Pearl"/>
    <n v="523.48"/>
    <n v="4"/>
    <n v="0"/>
    <n v="130.87"/>
  </r>
  <r>
    <n v="626"/>
    <s v="CA-2017-138009"/>
    <x v="239"/>
    <x v="1"/>
    <x v="245"/>
    <s v="Dearborn"/>
    <x v="12"/>
    <x v="2"/>
    <x v="1"/>
    <x v="6"/>
    <s v="BOSTON Model 1800 Electric Pencil Sharpeners, Putty/Woodgrain"/>
    <n v="161.82"/>
    <n v="9"/>
    <n v="0"/>
    <n v="46.927799999999984"/>
  </r>
  <r>
    <n v="627"/>
    <s v="CA-2019-163020"/>
    <x v="175"/>
    <x v="1"/>
    <x v="246"/>
    <s v="New York City"/>
    <x v="15"/>
    <x v="3"/>
    <x v="0"/>
    <x v="5"/>
    <s v="Master Caster Door Stop, Brown"/>
    <n v="35.56"/>
    <n v="7"/>
    <n v="0"/>
    <n v="12.090399999999999"/>
  </r>
  <r>
    <n v="628"/>
    <s v="CA-2019-153787"/>
    <x v="240"/>
    <x v="1"/>
    <x v="247"/>
    <s v="Seattle"/>
    <x v="4"/>
    <x v="1"/>
    <x v="1"/>
    <x v="9"/>
    <s v="Belkin Premiere Surge Master II 8-outlet surge protector"/>
    <n v="97.16"/>
    <n v="2"/>
    <n v="0"/>
    <n v="28.176399999999987"/>
  </r>
  <r>
    <n v="629"/>
    <s v="CA-2019-133431"/>
    <x v="94"/>
    <x v="1"/>
    <x v="95"/>
    <s v="San Francisco"/>
    <x v="1"/>
    <x v="1"/>
    <x v="1"/>
    <x v="8"/>
    <s v="Acco Pressboard Covers with Storage Hooks, 9 1/2&quot; x 11&quot;, Executive Red"/>
    <n v="15.24"/>
    <n v="5"/>
    <n v="0.2"/>
    <n v="5.1434999999999977"/>
  </r>
  <r>
    <n v="630"/>
    <s v="CA-2019-133431"/>
    <x v="94"/>
    <x v="1"/>
    <x v="95"/>
    <s v="San Francisco"/>
    <x v="1"/>
    <x v="1"/>
    <x v="1"/>
    <x v="10"/>
    <s v="Ampad Gold Fibre Wirebound Steno Books, 6&quot; x 9&quot;, Gregg Ruled"/>
    <n v="13.23"/>
    <n v="3"/>
    <n v="0"/>
    <n v="6.0857999999999999"/>
  </r>
  <r>
    <n v="631"/>
    <s v="US-2018-135720"/>
    <x v="25"/>
    <x v="0"/>
    <x v="248"/>
    <s v="Aurora"/>
    <x v="22"/>
    <x v="1"/>
    <x v="1"/>
    <x v="4"/>
    <s v="Tennsco Regal Shelving Units"/>
    <n v="243.38400000000001"/>
    <n v="3"/>
    <n v="0.2"/>
    <n v="-51.719100000000012"/>
  </r>
  <r>
    <n v="632"/>
    <s v="US-2018-135720"/>
    <x v="25"/>
    <x v="0"/>
    <x v="248"/>
    <s v="Aurora"/>
    <x v="22"/>
    <x v="1"/>
    <x v="2"/>
    <x v="11"/>
    <s v="Imation 32GB Pocket Pro USB 3.0 Flash Drive - 32 GB - Black - 1 P ..."/>
    <n v="119.80000000000001"/>
    <n v="5"/>
    <n v="0.2"/>
    <n v="29.950000000000003"/>
  </r>
  <r>
    <n v="633"/>
    <s v="US-2018-135720"/>
    <x v="25"/>
    <x v="0"/>
    <x v="248"/>
    <s v="Aurora"/>
    <x v="22"/>
    <x v="1"/>
    <x v="2"/>
    <x v="7"/>
    <s v="Jabra SPEAK 410"/>
    <n v="300.76799999999997"/>
    <n v="4"/>
    <n v="0.2"/>
    <n v="30.076800000000006"/>
  </r>
  <r>
    <n v="634"/>
    <s v="CA-2019-144694"/>
    <x v="241"/>
    <x v="0"/>
    <x v="205"/>
    <s v="Miami"/>
    <x v="2"/>
    <x v="0"/>
    <x v="2"/>
    <x v="11"/>
    <s v="Verbatim 25 GB 6x Blu-ray Single Layer Recordable Disc, 1/Pack"/>
    <n v="17.880000000000003"/>
    <n v="3"/>
    <n v="0.2"/>
    <n v="2.458499999999999"/>
  </r>
  <r>
    <n v="635"/>
    <s v="CA-2019-144694"/>
    <x v="241"/>
    <x v="0"/>
    <x v="205"/>
    <s v="Miami"/>
    <x v="2"/>
    <x v="0"/>
    <x v="1"/>
    <x v="2"/>
    <s v="Dot Matrix Printer Tape Reel Labels, White, 5000/Box"/>
    <n v="235.94400000000002"/>
    <n v="3"/>
    <n v="0.2"/>
    <n v="85.529700000000005"/>
  </r>
  <r>
    <n v="636"/>
    <s v="CA-2017-168004"/>
    <x v="242"/>
    <x v="0"/>
    <x v="249"/>
    <s v="Warner Robins"/>
    <x v="32"/>
    <x v="0"/>
    <x v="0"/>
    <x v="1"/>
    <s v="Office Star - Mesh Screen back chair with Vinyl seat"/>
    <n v="392.93999999999994"/>
    <n v="3"/>
    <n v="0"/>
    <n v="43.223399999999984"/>
  </r>
  <r>
    <n v="637"/>
    <s v="US-2018-123470"/>
    <x v="243"/>
    <x v="1"/>
    <x v="250"/>
    <s v="Aurora"/>
    <x v="22"/>
    <x v="1"/>
    <x v="1"/>
    <x v="8"/>
    <s v="Premium Transparent Presentation Covers by GBC"/>
    <n v="18.882000000000005"/>
    <n v="3"/>
    <n v="0.7"/>
    <n v="-13.846800000000002"/>
  </r>
  <r>
    <n v="638"/>
    <s v="US-2018-123470"/>
    <x v="243"/>
    <x v="1"/>
    <x v="250"/>
    <s v="Aurora"/>
    <x v="22"/>
    <x v="1"/>
    <x v="1"/>
    <x v="9"/>
    <s v="Tripp Lite TLP810NET Broadband Surge for Modem/Fax"/>
    <n v="122.328"/>
    <n v="3"/>
    <n v="0.2"/>
    <n v="12.232799999999997"/>
  </r>
  <r>
    <n v="639"/>
    <s v="CA-2018-115917"/>
    <x v="244"/>
    <x v="1"/>
    <x v="46"/>
    <s v="Vallejo"/>
    <x v="1"/>
    <x v="1"/>
    <x v="0"/>
    <x v="5"/>
    <s v="Luxo Professional Fluorescent Magnifier Lamp with Clamp-Mount Base"/>
    <n v="1049.2"/>
    <n v="5"/>
    <n v="0"/>
    <n v="272.79200000000003"/>
  </r>
  <r>
    <n v="640"/>
    <s v="CA-2018-115917"/>
    <x v="244"/>
    <x v="1"/>
    <x v="46"/>
    <s v="Vallejo"/>
    <x v="1"/>
    <x v="1"/>
    <x v="1"/>
    <x v="8"/>
    <s v="Wilson Jones Turn Tabs Binder Tool for Ring Binders"/>
    <n v="15.424000000000001"/>
    <n v="4"/>
    <n v="0.2"/>
    <n v="5.0128000000000004"/>
  </r>
  <r>
    <n v="641"/>
    <s v="CA-2018-147067"/>
    <x v="122"/>
    <x v="1"/>
    <x v="251"/>
    <s v="Minneapolis"/>
    <x v="11"/>
    <x v="2"/>
    <x v="0"/>
    <x v="5"/>
    <s v="Eldon 200 Class Desk Accessories"/>
    <n v="18.84"/>
    <n v="3"/>
    <n v="0"/>
    <n v="6.0287999999999995"/>
  </r>
  <r>
    <n v="642"/>
    <s v="CA-2019-167913"/>
    <x v="245"/>
    <x v="0"/>
    <x v="252"/>
    <s v="Mission Viejo"/>
    <x v="1"/>
    <x v="1"/>
    <x v="1"/>
    <x v="4"/>
    <s v="Economy Rollaway Files"/>
    <n v="330.4"/>
    <n v="2"/>
    <n v="0"/>
    <n v="85.903999999999996"/>
  </r>
  <r>
    <n v="643"/>
    <s v="CA-2019-167913"/>
    <x v="245"/>
    <x v="0"/>
    <x v="252"/>
    <s v="Mission Viejo"/>
    <x v="1"/>
    <x v="1"/>
    <x v="1"/>
    <x v="2"/>
    <s v="Avery 480"/>
    <n v="26.25"/>
    <n v="7"/>
    <n v="0"/>
    <n v="12.599999999999998"/>
  </r>
  <r>
    <n v="644"/>
    <s v="CA-2019-106103"/>
    <x v="193"/>
    <x v="1"/>
    <x v="253"/>
    <s v="Rochester Hills"/>
    <x v="12"/>
    <x v="2"/>
    <x v="2"/>
    <x v="11"/>
    <s v="Imation 16GB Mini TravelDrive USB 2.0 Flash Drive"/>
    <n v="132.52000000000001"/>
    <n v="4"/>
    <n v="0"/>
    <n v="54.333200000000005"/>
  </r>
  <r>
    <n v="645"/>
    <s v="US-2019-127719"/>
    <x v="246"/>
    <x v="1"/>
    <x v="69"/>
    <s v="Plainfield"/>
    <x v="30"/>
    <x v="3"/>
    <x v="1"/>
    <x v="10"/>
    <s v="Xerox 1993"/>
    <n v="6.48"/>
    <n v="1"/>
    <n v="0"/>
    <n v="3.1752000000000002"/>
  </r>
  <r>
    <n v="646"/>
    <s v="CA-2019-126221"/>
    <x v="247"/>
    <x v="1"/>
    <x v="254"/>
    <s v="Columbus"/>
    <x v="14"/>
    <x v="2"/>
    <x v="1"/>
    <x v="9"/>
    <s v="Eureka The Boss Plus 12-Amp Hard Box Upright Vacuum, Red"/>
    <n v="209.3"/>
    <n v="2"/>
    <n v="0"/>
    <n v="56.510999999999996"/>
  </r>
  <r>
    <n v="647"/>
    <s v="CA-2018-103947"/>
    <x v="178"/>
    <x v="1"/>
    <x v="121"/>
    <s v="Sierra Vista"/>
    <x v="16"/>
    <x v="1"/>
    <x v="1"/>
    <x v="13"/>
    <s v="Staples"/>
    <n v="31.560000000000002"/>
    <n v="5"/>
    <n v="0.2"/>
    <n v="9.8624999999999972"/>
  </r>
  <r>
    <n v="648"/>
    <s v="CA-2018-103947"/>
    <x v="178"/>
    <x v="1"/>
    <x v="121"/>
    <s v="Sierra Vista"/>
    <x v="16"/>
    <x v="1"/>
    <x v="1"/>
    <x v="9"/>
    <s v="Belkin F9H710-06 7 Outlet SurgeMaster Surge Protector"/>
    <n v="30.144000000000002"/>
    <n v="2"/>
    <n v="0.2"/>
    <n v="3.0143999999999993"/>
  </r>
  <r>
    <n v="649"/>
    <s v="CA-2018-160745"/>
    <x v="25"/>
    <x v="0"/>
    <x v="255"/>
    <s v="Vancouver"/>
    <x v="4"/>
    <x v="1"/>
    <x v="0"/>
    <x v="5"/>
    <s v="3M Hangers With Command Adhesive"/>
    <n v="14.8"/>
    <n v="4"/>
    <n v="0"/>
    <n v="6.0680000000000014"/>
  </r>
  <r>
    <n v="650"/>
    <s v="CA-2018-160745"/>
    <x v="25"/>
    <x v="0"/>
    <x v="255"/>
    <s v="Vancouver"/>
    <x v="4"/>
    <x v="1"/>
    <x v="2"/>
    <x v="7"/>
    <s v="AT&amp;T TR1909W"/>
    <n v="302.37599999999998"/>
    <n v="3"/>
    <n v="0.2"/>
    <n v="22.678200000000018"/>
  </r>
  <r>
    <n v="651"/>
    <s v="CA-2018-160745"/>
    <x v="25"/>
    <x v="0"/>
    <x v="255"/>
    <s v="Vancouver"/>
    <x v="4"/>
    <x v="1"/>
    <x v="2"/>
    <x v="11"/>
    <s v="First Data FD10 PIN Pad"/>
    <n v="316"/>
    <n v="4"/>
    <n v="0"/>
    <n v="31.599999999999966"/>
  </r>
  <r>
    <n v="652"/>
    <s v="CA-2018-132661"/>
    <x v="248"/>
    <x v="1"/>
    <x v="256"/>
    <s v="New York City"/>
    <x v="15"/>
    <x v="3"/>
    <x v="1"/>
    <x v="10"/>
    <s v="Snap-A-Way Black Print Carbonless Ruled Speed Letter, Triplicate"/>
    <n v="379.4"/>
    <n v="10"/>
    <n v="0"/>
    <n v="178.31799999999998"/>
  </r>
  <r>
    <n v="653"/>
    <s v="CA-2019-140844"/>
    <x v="249"/>
    <x v="1"/>
    <x v="153"/>
    <s v="New York City"/>
    <x v="15"/>
    <x v="3"/>
    <x v="1"/>
    <x v="10"/>
    <s v="Xerox 1943"/>
    <n v="97.82"/>
    <n v="2"/>
    <n v="0"/>
    <n v="45.975399999999993"/>
  </r>
  <r>
    <n v="654"/>
    <s v="CA-2019-140844"/>
    <x v="249"/>
    <x v="1"/>
    <x v="153"/>
    <s v="New York City"/>
    <x v="15"/>
    <x v="3"/>
    <x v="2"/>
    <x v="11"/>
    <s v="Sony 16GB Class 10 Micro SDHC R40 Memory Card"/>
    <n v="103.12"/>
    <n v="8"/>
    <n v="0"/>
    <n v="10.311999999999998"/>
  </r>
  <r>
    <n v="655"/>
    <s v="CA-2018-137239"/>
    <x v="250"/>
    <x v="1"/>
    <x v="257"/>
    <s v="Columbus"/>
    <x v="24"/>
    <x v="3"/>
    <x v="1"/>
    <x v="9"/>
    <s v="Tripp Lite Isotel 8 Ultra 8 Outlet Metal Surge"/>
    <n v="113.55200000000001"/>
    <n v="2"/>
    <n v="0.2"/>
    <n v="8.5163999999999938"/>
  </r>
  <r>
    <n v="656"/>
    <s v="CA-2018-137239"/>
    <x v="250"/>
    <x v="1"/>
    <x v="257"/>
    <s v="Columbus"/>
    <x v="24"/>
    <x v="3"/>
    <x v="1"/>
    <x v="8"/>
    <s v="Avery Durable Poly Binders"/>
    <n v="3.3180000000000005"/>
    <n v="2"/>
    <n v="0.7"/>
    <n v="-2.6543999999999999"/>
  </r>
  <r>
    <n v="657"/>
    <s v="CA-2018-137239"/>
    <x v="250"/>
    <x v="1"/>
    <x v="257"/>
    <s v="Columbus"/>
    <x v="24"/>
    <x v="3"/>
    <x v="1"/>
    <x v="12"/>
    <s v="Airmail Envelopes"/>
    <n v="134.28800000000001"/>
    <n v="2"/>
    <n v="0.2"/>
    <n v="45.322199999999995"/>
  </r>
  <r>
    <n v="658"/>
    <s v="US-2018-156097"/>
    <x v="251"/>
    <x v="3"/>
    <x v="258"/>
    <s v="Aurora"/>
    <x v="10"/>
    <x v="2"/>
    <x v="0"/>
    <x v="1"/>
    <s v="Global Troy Executive Leather Low-Back Tilter"/>
    <n v="701.37199999999996"/>
    <n v="2"/>
    <n v="0.3"/>
    <n v="-50.098000000000013"/>
  </r>
  <r>
    <n v="659"/>
    <s v="US-2018-156097"/>
    <x v="251"/>
    <x v="3"/>
    <x v="258"/>
    <s v="Aurora"/>
    <x v="10"/>
    <x v="2"/>
    <x v="1"/>
    <x v="8"/>
    <s v="Avery Binding System Hidden Tab Executive Style Index Sets"/>
    <n v="2.3079999999999994"/>
    <n v="2"/>
    <n v="0.8"/>
    <n v="-3.4619999999999997"/>
  </r>
  <r>
    <n v="660"/>
    <s v="CA-2017-146563"/>
    <x v="252"/>
    <x v="1"/>
    <x v="90"/>
    <s v="Arlington"/>
    <x v="5"/>
    <x v="2"/>
    <x v="1"/>
    <x v="4"/>
    <s v="Hot File 7-Pocket, Floor Stand"/>
    <n v="999.43200000000002"/>
    <n v="7"/>
    <n v="0.2"/>
    <n v="124.92899999999986"/>
  </r>
  <r>
    <n v="661"/>
    <s v="CA-2017-146563"/>
    <x v="252"/>
    <x v="1"/>
    <x v="90"/>
    <s v="Arlington"/>
    <x v="5"/>
    <x v="2"/>
    <x v="1"/>
    <x v="4"/>
    <s v="Space Solutions Commercial Steel Shelving"/>
    <n v="724.08"/>
    <n v="14"/>
    <n v="0.2"/>
    <n v="-135.7650000000001"/>
  </r>
  <r>
    <n v="662"/>
    <s v="CA-2017-146563"/>
    <x v="252"/>
    <x v="1"/>
    <x v="90"/>
    <s v="Arlington"/>
    <x v="5"/>
    <x v="2"/>
    <x v="0"/>
    <x v="3"/>
    <s v="Hon Racetrack Conference Tables"/>
    <n v="918.78499999999985"/>
    <n v="5"/>
    <n v="0.3"/>
    <n v="-118.12950000000006"/>
  </r>
  <r>
    <n v="663"/>
    <s v="CA-2017-146563"/>
    <x v="252"/>
    <x v="1"/>
    <x v="90"/>
    <s v="Arlington"/>
    <x v="5"/>
    <x v="2"/>
    <x v="1"/>
    <x v="8"/>
    <s v="Avery Durable Plastic 1&quot; Binders"/>
    <n v="2.7239999999999993"/>
    <n v="3"/>
    <n v="0.8"/>
    <n v="-4.2222000000000008"/>
  </r>
  <r>
    <n v="664"/>
    <s v="CA-2018-123666"/>
    <x v="253"/>
    <x v="1"/>
    <x v="259"/>
    <s v="New York City"/>
    <x v="15"/>
    <x v="3"/>
    <x v="1"/>
    <x v="4"/>
    <s v="Gould Plastics 18-Pocket Panel Bin, 34w x 5-1/4d x 20-1/2h"/>
    <n v="459.95"/>
    <n v="5"/>
    <n v="0"/>
    <n v="18.397999999999968"/>
  </r>
  <r>
    <n v="665"/>
    <s v="CA-2018-143308"/>
    <x v="254"/>
    <x v="3"/>
    <x v="116"/>
    <s v="Louisville"/>
    <x v="0"/>
    <x v="0"/>
    <x v="1"/>
    <x v="13"/>
    <s v="OIC Colored Binder Clips, Assorted Sizes"/>
    <n v="10.74"/>
    <n v="3"/>
    <n v="0"/>
    <n v="5.2625999999999999"/>
  </r>
  <r>
    <n v="666"/>
    <s v="CA-2019-132682"/>
    <x v="110"/>
    <x v="0"/>
    <x v="260"/>
    <s v="Dallas"/>
    <x v="5"/>
    <x v="2"/>
    <x v="1"/>
    <x v="14"/>
    <s v="Acme Tagit Stainless Steel Antibacterial Scissors"/>
    <n v="23.76"/>
    <n v="3"/>
    <n v="0.2"/>
    <n v="2.0789999999999997"/>
  </r>
  <r>
    <n v="667"/>
    <s v="CA-2019-132682"/>
    <x v="110"/>
    <x v="0"/>
    <x v="260"/>
    <s v="Dallas"/>
    <x v="5"/>
    <x v="2"/>
    <x v="1"/>
    <x v="10"/>
    <s v="Easy-staple paper"/>
    <n v="85.055999999999997"/>
    <n v="3"/>
    <n v="0.2"/>
    <n v="28.706399999999991"/>
  </r>
  <r>
    <n v="668"/>
    <s v="CA-2019-132682"/>
    <x v="110"/>
    <x v="0"/>
    <x v="260"/>
    <s v="Dallas"/>
    <x v="5"/>
    <x v="2"/>
    <x v="2"/>
    <x v="7"/>
    <s v="ClearOne Communications CHAT 70 OC Speaker Phone"/>
    <n v="381.57600000000002"/>
    <n v="3"/>
    <n v="0.2"/>
    <n v="28.618200000000002"/>
  </r>
  <r>
    <n v="669"/>
    <s v="CA-2016-156314"/>
    <x v="163"/>
    <x v="2"/>
    <x v="261"/>
    <s v="Cleveland"/>
    <x v="24"/>
    <x v="3"/>
    <x v="0"/>
    <x v="5"/>
    <s v="Master Giant Foot Doorstop, Safety Yellow"/>
    <n v="30.36"/>
    <n v="5"/>
    <n v="0.2"/>
    <n v="8.7285000000000004"/>
  </r>
  <r>
    <n v="670"/>
    <s v="US-2019-106663"/>
    <x v="255"/>
    <x v="1"/>
    <x v="246"/>
    <s v="Chicago"/>
    <x v="10"/>
    <x v="2"/>
    <x v="0"/>
    <x v="5"/>
    <s v="12-1/2 Diameter Round Wall Clock"/>
    <n v="23.976000000000003"/>
    <n v="3"/>
    <n v="0.6"/>
    <n v="-14.385599999999997"/>
  </r>
  <r>
    <n v="671"/>
    <s v="US-2019-106663"/>
    <x v="255"/>
    <x v="1"/>
    <x v="246"/>
    <s v="Chicago"/>
    <x v="10"/>
    <x v="2"/>
    <x v="0"/>
    <x v="3"/>
    <s v="Chromcraft Bull-Nose Wood Round Conference Table Top, Wood Base"/>
    <n v="108.925"/>
    <n v="1"/>
    <n v="0.5"/>
    <n v="-71.890500000000017"/>
  </r>
  <r>
    <n v="672"/>
    <s v="US-2019-106663"/>
    <x v="255"/>
    <x v="1"/>
    <x v="246"/>
    <s v="Chicago"/>
    <x v="10"/>
    <x v="2"/>
    <x v="1"/>
    <x v="10"/>
    <s v="Adams Telephone Message Book W/Dividers/Space For Phone Numbers, 5 1/4&quot;X8 1/2&quot;, 200/Messages"/>
    <n v="36.351999999999997"/>
    <n v="8"/>
    <n v="0.2"/>
    <n v="11.359999999999998"/>
  </r>
  <r>
    <n v="673"/>
    <s v="CA-2019-111178"/>
    <x v="140"/>
    <x v="1"/>
    <x v="143"/>
    <s v="Quincy"/>
    <x v="10"/>
    <x v="2"/>
    <x v="1"/>
    <x v="6"/>
    <s v="Newell 331"/>
    <n v="19.559999999999999"/>
    <n v="5"/>
    <n v="0.2"/>
    <n v="1.7115"/>
  </r>
  <r>
    <n v="674"/>
    <s v="CA-2019-130351"/>
    <x v="256"/>
    <x v="2"/>
    <x v="262"/>
    <s v="Columbus"/>
    <x v="14"/>
    <x v="2"/>
    <x v="1"/>
    <x v="9"/>
    <s v="Kensington 6 Outlet Guardian Standard Surge Protector"/>
    <n v="61.44"/>
    <n v="3"/>
    <n v="0"/>
    <n v="16.588799999999999"/>
  </r>
  <r>
    <n v="675"/>
    <s v="CA-2019-130351"/>
    <x v="256"/>
    <x v="2"/>
    <x v="262"/>
    <s v="Columbus"/>
    <x v="14"/>
    <x v="2"/>
    <x v="1"/>
    <x v="10"/>
    <s v="Southworth 100% Résumé Paper, 24lb."/>
    <n v="38.9"/>
    <n v="5"/>
    <n v="0"/>
    <n v="17.504999999999995"/>
  </r>
  <r>
    <n v="676"/>
    <s v="CA-2019-130351"/>
    <x v="256"/>
    <x v="2"/>
    <x v="262"/>
    <s v="Columbus"/>
    <x v="14"/>
    <x v="2"/>
    <x v="2"/>
    <x v="11"/>
    <s v="Imation 16GB Mini TravelDrive USB 2.0 Flash Drive"/>
    <n v="99.390000000000015"/>
    <n v="3"/>
    <n v="0"/>
    <n v="40.749900000000004"/>
  </r>
  <r>
    <n v="677"/>
    <s v="US-2019-119438"/>
    <x v="257"/>
    <x v="1"/>
    <x v="263"/>
    <s v="Tyler"/>
    <x v="5"/>
    <x v="2"/>
    <x v="1"/>
    <x v="9"/>
    <s v="Hoover Portapower Portable Vacuum"/>
    <n v="2.6879999999999997"/>
    <n v="3"/>
    <n v="0.8"/>
    <n v="-7.3920000000000021"/>
  </r>
  <r>
    <n v="678"/>
    <s v="US-2019-119438"/>
    <x v="257"/>
    <x v="1"/>
    <x v="263"/>
    <s v="Tyler"/>
    <x v="5"/>
    <x v="2"/>
    <x v="2"/>
    <x v="11"/>
    <s v="Verbatim 25 GB 6x Blu-ray Single Layer Recordable Disc, 10/Pack"/>
    <n v="27.816000000000003"/>
    <n v="3"/>
    <n v="0.2"/>
    <n v="4.5200999999999958"/>
  </r>
  <r>
    <n v="679"/>
    <s v="US-2019-119438"/>
    <x v="257"/>
    <x v="1"/>
    <x v="263"/>
    <s v="Tyler"/>
    <x v="5"/>
    <x v="2"/>
    <x v="0"/>
    <x v="5"/>
    <s v="Howard Miller 13-1/2&quot; Diameter Rosebrook Wall Clock"/>
    <n v="82.524000000000001"/>
    <n v="3"/>
    <n v="0.6"/>
    <n v="-41.261999999999972"/>
  </r>
  <r>
    <n v="680"/>
    <s v="US-2019-119438"/>
    <x v="257"/>
    <x v="1"/>
    <x v="263"/>
    <s v="Tyler"/>
    <x v="5"/>
    <x v="2"/>
    <x v="1"/>
    <x v="8"/>
    <s v="Ibico Hi-Tech Manual Binding System"/>
    <n v="182.99399999999997"/>
    <n v="3"/>
    <n v="0.8"/>
    <n v="-320.23950000000013"/>
  </r>
  <r>
    <n v="681"/>
    <s v="CA-2018-164511"/>
    <x v="258"/>
    <x v="1"/>
    <x v="264"/>
    <s v="New York City"/>
    <x v="15"/>
    <x v="3"/>
    <x v="1"/>
    <x v="8"/>
    <s v="Avery Hanging File Binders"/>
    <n v="14.352000000000002"/>
    <n v="3"/>
    <n v="0.2"/>
    <n v="4.6643999999999988"/>
  </r>
  <r>
    <n v="682"/>
    <s v="CA-2018-164511"/>
    <x v="258"/>
    <x v="1"/>
    <x v="264"/>
    <s v="New York City"/>
    <x v="15"/>
    <x v="3"/>
    <x v="1"/>
    <x v="4"/>
    <s v="Fellowes Neat Ideas Storage Cubes"/>
    <n v="64.959999999999994"/>
    <n v="2"/>
    <n v="0"/>
    <n v="2.598399999999998"/>
  </r>
  <r>
    <n v="683"/>
    <s v="CA-2018-164511"/>
    <x v="258"/>
    <x v="1"/>
    <x v="264"/>
    <s v="New York City"/>
    <x v="15"/>
    <x v="3"/>
    <x v="1"/>
    <x v="4"/>
    <s v="Advantus Rolling Storage Box"/>
    <n v="68.599999999999994"/>
    <n v="4"/>
    <n v="0"/>
    <n v="18.521999999999998"/>
  </r>
  <r>
    <n v="684"/>
    <s v="US-2019-168116"/>
    <x v="259"/>
    <x v="3"/>
    <x v="265"/>
    <s v="Burlington"/>
    <x v="3"/>
    <x v="0"/>
    <x v="2"/>
    <x v="15"/>
    <s v="Cubify CubeX 3D Printer Triple Head Print"/>
    <n v="7999.98"/>
    <n v="4"/>
    <n v="0.5"/>
    <n v="-3839.9903999999988"/>
  </r>
  <r>
    <n v="685"/>
    <s v="US-2019-168116"/>
    <x v="259"/>
    <x v="3"/>
    <x v="265"/>
    <s v="Burlington"/>
    <x v="3"/>
    <x v="0"/>
    <x v="1"/>
    <x v="9"/>
    <s v="Eureka The Boss Plus 12-Amp Hard Box Upright Vacuum, Red"/>
    <n v="167.44000000000003"/>
    <n v="2"/>
    <n v="0.2"/>
    <n v="14.650999999999989"/>
  </r>
  <r>
    <n v="686"/>
    <s v="CA-2016-157784"/>
    <x v="260"/>
    <x v="2"/>
    <x v="266"/>
    <s v="Jackson"/>
    <x v="35"/>
    <x v="0"/>
    <x v="2"/>
    <x v="11"/>
    <s v="NETGEAR AC1750 Dual Band Gigabit Smart WiFi Router"/>
    <n v="479.97"/>
    <n v="3"/>
    <n v="0"/>
    <n v="163.18979999999999"/>
  </r>
  <r>
    <n v="687"/>
    <s v="CA-2016-157784"/>
    <x v="260"/>
    <x v="2"/>
    <x v="266"/>
    <s v="Jackson"/>
    <x v="35"/>
    <x v="0"/>
    <x v="1"/>
    <x v="2"/>
    <s v="Avery 516"/>
    <n v="14.62"/>
    <n v="2"/>
    <n v="0"/>
    <n v="6.8713999999999995"/>
  </r>
  <r>
    <n v="688"/>
    <s v="CA-2016-157784"/>
    <x v="260"/>
    <x v="2"/>
    <x v="266"/>
    <s v="Jackson"/>
    <x v="35"/>
    <x v="0"/>
    <x v="1"/>
    <x v="10"/>
    <s v="Xerox 1995"/>
    <n v="19.440000000000001"/>
    <n v="3"/>
    <n v="0"/>
    <n v="9.3312000000000008"/>
  </r>
  <r>
    <n v="689"/>
    <s v="CA-2019-161480"/>
    <x v="53"/>
    <x v="1"/>
    <x v="267"/>
    <s v="New York City"/>
    <x v="15"/>
    <x v="3"/>
    <x v="0"/>
    <x v="0"/>
    <s v="Bush Andora Bookcase, Maple/Graphite Gray Finish"/>
    <n v="191.98400000000001"/>
    <n v="2"/>
    <n v="0.2"/>
    <n v="4.7995999999999768"/>
  </r>
  <r>
    <n v="690"/>
    <s v="US-2016-117135"/>
    <x v="261"/>
    <x v="0"/>
    <x v="268"/>
    <s v="Waynesboro"/>
    <x v="17"/>
    <x v="0"/>
    <x v="0"/>
    <x v="5"/>
    <s v="Luxo Professional Magnifying Clamp-On Fluorescent Lamps"/>
    <n v="104.01"/>
    <n v="1"/>
    <n v="0"/>
    <n v="14.561400000000006"/>
  </r>
  <r>
    <n v="691"/>
    <s v="US-2016-117135"/>
    <x v="261"/>
    <x v="0"/>
    <x v="268"/>
    <s v="Waynesboro"/>
    <x v="17"/>
    <x v="0"/>
    <x v="2"/>
    <x v="7"/>
    <s v="Konftel 250 Conference phone - Charcoal black"/>
    <n v="284.82"/>
    <n v="1"/>
    <n v="0"/>
    <n v="74.053200000000004"/>
  </r>
  <r>
    <n v="692"/>
    <s v="US-2016-117135"/>
    <x v="261"/>
    <x v="0"/>
    <x v="268"/>
    <s v="Waynesboro"/>
    <x v="17"/>
    <x v="0"/>
    <x v="1"/>
    <x v="4"/>
    <s v="Recycled Eldon Regeneration Jumbo File"/>
    <n v="36.839999999999996"/>
    <n v="3"/>
    <n v="0"/>
    <n v="10.315199999999999"/>
  </r>
  <r>
    <n v="693"/>
    <s v="CA-2017-131534"/>
    <x v="262"/>
    <x v="1"/>
    <x v="269"/>
    <s v="Los Angeles"/>
    <x v="1"/>
    <x v="1"/>
    <x v="2"/>
    <x v="11"/>
    <s v="Imation Bio 8GB USB Flash Drive Imation Corp"/>
    <n v="166.24"/>
    <n v="1"/>
    <n v="0"/>
    <n v="24.936000000000007"/>
  </r>
  <r>
    <n v="694"/>
    <s v="CA-2017-131534"/>
    <x v="262"/>
    <x v="1"/>
    <x v="269"/>
    <s v="Los Angeles"/>
    <x v="1"/>
    <x v="1"/>
    <x v="1"/>
    <x v="10"/>
    <s v="Xerox 1977"/>
    <n v="33.4"/>
    <n v="5"/>
    <n v="0"/>
    <n v="16.032"/>
  </r>
  <r>
    <n v="695"/>
    <s v="CA-2017-119291"/>
    <x v="263"/>
    <x v="2"/>
    <x v="270"/>
    <s v="Chester"/>
    <x v="9"/>
    <x v="3"/>
    <x v="1"/>
    <x v="6"/>
    <s v="Boston School Pro Electric Pencil Sharpener, 1670"/>
    <n v="198.27200000000002"/>
    <n v="8"/>
    <n v="0.2"/>
    <n v="17.34879999999999"/>
  </r>
  <r>
    <n v="696"/>
    <s v="CA-2017-119291"/>
    <x v="263"/>
    <x v="2"/>
    <x v="270"/>
    <s v="Chester"/>
    <x v="9"/>
    <x v="3"/>
    <x v="1"/>
    <x v="2"/>
    <s v="Avery 490"/>
    <n v="47.360000000000007"/>
    <n v="4"/>
    <n v="0.2"/>
    <n v="17.759999999999998"/>
  </r>
  <r>
    <n v="697"/>
    <s v="CA-2017-119291"/>
    <x v="263"/>
    <x v="2"/>
    <x v="270"/>
    <s v="Chester"/>
    <x v="9"/>
    <x v="3"/>
    <x v="1"/>
    <x v="12"/>
    <s v="Jet-Pak Recycled Peel 'N' Seal Padded Mailers"/>
    <n v="200.98400000000004"/>
    <n v="7"/>
    <n v="0.2"/>
    <n v="62.807499999999976"/>
  </r>
  <r>
    <n v="698"/>
    <s v="CA-2017-119291"/>
    <x v="263"/>
    <x v="2"/>
    <x v="270"/>
    <s v="Chester"/>
    <x v="9"/>
    <x v="3"/>
    <x v="1"/>
    <x v="2"/>
    <s v="Avery 4027 File Folder Labels for Dot Matrix Printers, 5000 Labels per Box, White"/>
    <n v="97.696000000000012"/>
    <n v="4"/>
    <n v="0.2"/>
    <n v="31.751200000000001"/>
  </r>
  <r>
    <n v="699"/>
    <s v="CA-2017-119291"/>
    <x v="263"/>
    <x v="2"/>
    <x v="270"/>
    <s v="Chester"/>
    <x v="9"/>
    <x v="3"/>
    <x v="1"/>
    <x v="6"/>
    <s v="Binney &amp; Smith Crayola Metallic Crayons, 16-Color Pack"/>
    <n v="2.6960000000000002"/>
    <n v="1"/>
    <n v="0.2"/>
    <n v="0.8088000000000003"/>
  </r>
  <r>
    <n v="700"/>
    <s v="CA-2017-119291"/>
    <x v="263"/>
    <x v="2"/>
    <x v="270"/>
    <s v="Chester"/>
    <x v="9"/>
    <x v="3"/>
    <x v="1"/>
    <x v="8"/>
    <s v="GBC Linen Binding Covers"/>
    <n v="18.588000000000005"/>
    <n v="2"/>
    <n v="0.7"/>
    <n v="-13.6312"/>
  </r>
  <r>
    <n v="701"/>
    <s v="CA-2017-119291"/>
    <x v="263"/>
    <x v="2"/>
    <x v="270"/>
    <s v="Chester"/>
    <x v="9"/>
    <x v="3"/>
    <x v="1"/>
    <x v="8"/>
    <s v="Wilson Jones Custom Binder Spines &amp; Labels"/>
    <n v="4.8960000000000008"/>
    <n v="3"/>
    <n v="0.7"/>
    <n v="-3.4271999999999991"/>
  </r>
  <r>
    <n v="702"/>
    <s v="CA-2019-114552"/>
    <x v="264"/>
    <x v="1"/>
    <x v="114"/>
    <s v="Cleveland"/>
    <x v="24"/>
    <x v="3"/>
    <x v="0"/>
    <x v="5"/>
    <s v="Eldon 200 Class Desk Accessories, Burgundy"/>
    <n v="15.072000000000003"/>
    <n v="3"/>
    <n v="0.2"/>
    <n v="4.1448"/>
  </r>
  <r>
    <n v="703"/>
    <s v="CA-2018-163755"/>
    <x v="254"/>
    <x v="0"/>
    <x v="155"/>
    <s v="Seattle"/>
    <x v="4"/>
    <x v="1"/>
    <x v="0"/>
    <x v="5"/>
    <s v="Tenex &quot;The Solids&quot; Textured Chair Mats"/>
    <n v="209.88"/>
    <n v="3"/>
    <n v="0"/>
    <n v="35.679599999999979"/>
  </r>
  <r>
    <n v="704"/>
    <s v="CA-2017-142027"/>
    <x v="265"/>
    <x v="1"/>
    <x v="271"/>
    <s v="Long Beach"/>
    <x v="1"/>
    <x v="1"/>
    <x v="0"/>
    <x v="3"/>
    <s v="Laminate Occasional Tables"/>
    <n v="369.91200000000003"/>
    <n v="3"/>
    <n v="0.2"/>
    <n v="-13.871700000000047"/>
  </r>
  <r>
    <n v="705"/>
    <s v="CA-2016-138527"/>
    <x v="171"/>
    <x v="1"/>
    <x v="272"/>
    <s v="Cary"/>
    <x v="3"/>
    <x v="0"/>
    <x v="1"/>
    <x v="10"/>
    <s v="Xerox 220"/>
    <n v="10.368000000000002"/>
    <n v="2"/>
    <n v="0.2"/>
    <n v="3.6288"/>
  </r>
  <r>
    <n v="706"/>
    <s v="CA-2016-138527"/>
    <x v="171"/>
    <x v="1"/>
    <x v="272"/>
    <s v="Cary"/>
    <x v="3"/>
    <x v="0"/>
    <x v="1"/>
    <x v="9"/>
    <s v="Fellowes 8 Outlet Superior Workstation Surge Protector"/>
    <n v="166.84"/>
    <n v="5"/>
    <n v="0.2"/>
    <n v="18.769499999999987"/>
  </r>
  <r>
    <n v="707"/>
    <s v="CA-2016-138527"/>
    <x v="171"/>
    <x v="1"/>
    <x v="272"/>
    <s v="Cary"/>
    <x v="3"/>
    <x v="0"/>
    <x v="2"/>
    <x v="11"/>
    <s v="SanDisk Cruzer 32 GB USB Flash Drive"/>
    <n v="15.216000000000001"/>
    <n v="1"/>
    <n v="0.2"/>
    <n v="2.2823999999999991"/>
  </r>
  <r>
    <n v="708"/>
    <s v="CA-2016-112158"/>
    <x v="266"/>
    <x v="2"/>
    <x v="273"/>
    <s v="New York City"/>
    <x v="15"/>
    <x v="3"/>
    <x v="2"/>
    <x v="11"/>
    <s v="Logitech 910-002974 M325 Wireless Mouse for Web Scrolling"/>
    <n v="119.96"/>
    <n v="4"/>
    <n v="0"/>
    <n v="52.78240000000001"/>
  </r>
  <r>
    <n v="709"/>
    <s v="CA-2016-112158"/>
    <x v="266"/>
    <x v="2"/>
    <x v="273"/>
    <s v="New York City"/>
    <x v="15"/>
    <x v="3"/>
    <x v="0"/>
    <x v="0"/>
    <s v="O'Sullivan Living Dimensions 5-Shelf Bookcases"/>
    <n v="883.92"/>
    <n v="5"/>
    <n v="0.2"/>
    <n v="-110.49000000000007"/>
  </r>
  <r>
    <n v="710"/>
    <s v="CA-2016-112158"/>
    <x v="266"/>
    <x v="2"/>
    <x v="273"/>
    <s v="New York City"/>
    <x v="15"/>
    <x v="3"/>
    <x v="1"/>
    <x v="8"/>
    <s v="Angle-D Binders with Locking Rings, Label Holders"/>
    <n v="46.72"/>
    <n v="8"/>
    <n v="0.2"/>
    <n v="15.767999999999997"/>
  </r>
  <r>
    <n v="711"/>
    <s v="CA-2016-113887"/>
    <x v="267"/>
    <x v="2"/>
    <x v="274"/>
    <s v="New York City"/>
    <x v="15"/>
    <x v="3"/>
    <x v="1"/>
    <x v="10"/>
    <s v="Eaton Premium Continuous-Feed Paper, 25% Cotton, Letter Size, White, 1000 Shts/Box"/>
    <n v="55.48"/>
    <n v="1"/>
    <n v="0"/>
    <n v="26.630399999999998"/>
  </r>
  <r>
    <n v="712"/>
    <s v="CA-2019-146136"/>
    <x v="213"/>
    <x v="1"/>
    <x v="275"/>
    <s v="Palm Coast"/>
    <x v="2"/>
    <x v="0"/>
    <x v="1"/>
    <x v="12"/>
    <s v="#10- 4 1/8&quot; x 9 1/2&quot; Security-Tint Envelopes"/>
    <n v="24.448"/>
    <n v="4"/>
    <n v="0.2"/>
    <n v="8.8623999999999992"/>
  </r>
  <r>
    <n v="713"/>
    <s v="US-2019-100048"/>
    <x v="240"/>
    <x v="1"/>
    <x v="276"/>
    <s v="Mount Vernon"/>
    <x v="15"/>
    <x v="3"/>
    <x v="1"/>
    <x v="9"/>
    <s v="Bionaire Personal Warm Mist Humidifier/Vaporizer"/>
    <n v="281.34000000000003"/>
    <n v="6"/>
    <n v="0"/>
    <n v="109.72260000000001"/>
  </r>
  <r>
    <n v="714"/>
    <s v="US-2019-100048"/>
    <x v="240"/>
    <x v="1"/>
    <x v="276"/>
    <s v="Mount Vernon"/>
    <x v="15"/>
    <x v="3"/>
    <x v="2"/>
    <x v="7"/>
    <s v="Nortel Meridian M3904 Professional Digital phone"/>
    <n v="307.98"/>
    <n v="2"/>
    <n v="0"/>
    <n v="89.314199999999971"/>
  </r>
  <r>
    <n v="715"/>
    <s v="US-2019-100048"/>
    <x v="240"/>
    <x v="1"/>
    <x v="276"/>
    <s v="Mount Vernon"/>
    <x v="15"/>
    <x v="3"/>
    <x v="2"/>
    <x v="11"/>
    <s v="Logitech Wireless Performance Mouse MX for PC and Mac"/>
    <n v="299.96999999999997"/>
    <n v="3"/>
    <n v="0"/>
    <n v="113.98860000000001"/>
  </r>
  <r>
    <n v="716"/>
    <s v="CA-2016-153150"/>
    <x v="268"/>
    <x v="0"/>
    <x v="114"/>
    <s v="Seattle"/>
    <x v="4"/>
    <x v="1"/>
    <x v="1"/>
    <x v="8"/>
    <s v="Cardinal Holdit Business Card Pockets"/>
    <n v="19.920000000000002"/>
    <n v="5"/>
    <n v="0.2"/>
    <n v="6.9719999999999995"/>
  </r>
  <r>
    <n v="717"/>
    <s v="CA-2016-130092"/>
    <x v="269"/>
    <x v="2"/>
    <x v="277"/>
    <s v="Dover"/>
    <x v="13"/>
    <x v="3"/>
    <x v="0"/>
    <x v="5"/>
    <s v="DAX Value U-Channel Document Frames, Easel Back"/>
    <n v="9.94"/>
    <n v="2"/>
    <n v="0"/>
    <n v="3.0813999999999995"/>
  </r>
  <r>
    <n v="718"/>
    <s v="CA-2019-108910"/>
    <x v="241"/>
    <x v="1"/>
    <x v="110"/>
    <s v="Newark"/>
    <x v="24"/>
    <x v="3"/>
    <x v="0"/>
    <x v="5"/>
    <s v="Howard Miller 13&quot; Diameter Pewter Finish Round Wall Clock"/>
    <n v="103.05599999999998"/>
    <n v="3"/>
    <n v="0.2"/>
    <n v="24.475800000000007"/>
  </r>
  <r>
    <n v="719"/>
    <s v="CA-2016-104472"/>
    <x v="270"/>
    <x v="1"/>
    <x v="278"/>
    <s v="Orem"/>
    <x v="7"/>
    <x v="1"/>
    <x v="1"/>
    <x v="8"/>
    <s v="GBC Standard Therm-A-Bind Covers"/>
    <n v="59.808000000000007"/>
    <n v="3"/>
    <n v="0.2"/>
    <n v="19.4376"/>
  </r>
  <r>
    <n v="720"/>
    <s v="CA-2016-104472"/>
    <x v="270"/>
    <x v="1"/>
    <x v="278"/>
    <s v="Orem"/>
    <x v="7"/>
    <x v="1"/>
    <x v="0"/>
    <x v="5"/>
    <s v="Aluminum Document Frame"/>
    <n v="73.320000000000007"/>
    <n v="6"/>
    <n v="0"/>
    <n v="21.995999999999992"/>
  </r>
  <r>
    <n v="721"/>
    <s v="CA-2018-112942"/>
    <x v="271"/>
    <x v="1"/>
    <x v="279"/>
    <s v="Los Angeles"/>
    <x v="1"/>
    <x v="1"/>
    <x v="1"/>
    <x v="10"/>
    <s v="Tops Green Bar Computer Printout Paper"/>
    <n v="146.82"/>
    <n v="3"/>
    <n v="0"/>
    <n v="73.41"/>
  </r>
  <r>
    <n v="722"/>
    <s v="CA-2018-142335"/>
    <x v="272"/>
    <x v="1"/>
    <x v="172"/>
    <s v="Detroit"/>
    <x v="12"/>
    <x v="2"/>
    <x v="0"/>
    <x v="3"/>
    <s v="Chromcraft Bull-Nose Wood Oval Conference Tables &amp; Bases"/>
    <n v="1652.94"/>
    <n v="3"/>
    <n v="0"/>
    <n v="231.41160000000002"/>
  </r>
  <r>
    <n v="723"/>
    <s v="CA-2018-142335"/>
    <x v="272"/>
    <x v="1"/>
    <x v="172"/>
    <s v="Detroit"/>
    <x v="12"/>
    <x v="2"/>
    <x v="1"/>
    <x v="4"/>
    <s v="Recycled Data-Pak for Archival Bound Computer Printouts, 12-1/2 x 12-1/2 x 16"/>
    <n v="296.37"/>
    <n v="3"/>
    <n v="0"/>
    <n v="80.019899999999993"/>
  </r>
  <r>
    <n v="724"/>
    <s v="CA-2016-117429"/>
    <x v="273"/>
    <x v="1"/>
    <x v="280"/>
    <s v="Philadelphia"/>
    <x v="9"/>
    <x v="3"/>
    <x v="0"/>
    <x v="5"/>
    <s v="Seth Thomas 16&quot; Steel Case Clock"/>
    <n v="129.91999999999999"/>
    <n v="5"/>
    <n v="0.2"/>
    <n v="21.112000000000002"/>
  </r>
  <r>
    <n v="725"/>
    <s v="CA-2018-114713"/>
    <x v="274"/>
    <x v="1"/>
    <x v="281"/>
    <s v="Hialeah"/>
    <x v="2"/>
    <x v="0"/>
    <x v="1"/>
    <x v="14"/>
    <s v="Acme Softgrip Scissors"/>
    <n v="45.584000000000003"/>
    <n v="7"/>
    <n v="0.2"/>
    <n v="5.1281999999999996"/>
  </r>
  <r>
    <n v="726"/>
    <s v="CA-2019-144113"/>
    <x v="118"/>
    <x v="1"/>
    <x v="282"/>
    <s v="Austin"/>
    <x v="5"/>
    <x v="2"/>
    <x v="1"/>
    <x v="12"/>
    <s v="Manila Recycled Extra-Heavyweight Clasp Envelopes, 6&quot; x 9&quot;"/>
    <n v="17.568000000000001"/>
    <n v="2"/>
    <n v="0.2"/>
    <n v="6.3684000000000003"/>
  </r>
  <r>
    <n v="727"/>
    <s v="CA-2019-144113"/>
    <x v="118"/>
    <x v="1"/>
    <x v="282"/>
    <s v="Austin"/>
    <x v="5"/>
    <x v="2"/>
    <x v="2"/>
    <x v="7"/>
    <s v="ClearSounds CSC500 Amplified Spirit Phone Corded phone"/>
    <n v="55.991999999999997"/>
    <n v="1"/>
    <n v="0.2"/>
    <n v="5.5992000000000015"/>
  </r>
  <r>
    <n v="728"/>
    <s v="US-2018-150861"/>
    <x v="275"/>
    <x v="2"/>
    <x v="283"/>
    <s v="Oceanside"/>
    <x v="15"/>
    <x v="3"/>
    <x v="1"/>
    <x v="10"/>
    <s v="Xerox 1964"/>
    <n v="182.72"/>
    <n v="8"/>
    <n v="0"/>
    <n v="84.051199999999994"/>
  </r>
  <r>
    <n v="729"/>
    <s v="US-2018-150861"/>
    <x v="275"/>
    <x v="2"/>
    <x v="283"/>
    <s v="Oceanside"/>
    <x v="15"/>
    <x v="3"/>
    <x v="0"/>
    <x v="3"/>
    <s v="Bevis Traditional Conference Table Top, Plinth Base"/>
    <n v="400.03199999999998"/>
    <n v="2"/>
    <n v="0.4"/>
    <n v="-153.34560000000005"/>
  </r>
  <r>
    <n v="730"/>
    <s v="US-2018-150861"/>
    <x v="275"/>
    <x v="2"/>
    <x v="283"/>
    <s v="Oceanside"/>
    <x v="15"/>
    <x v="3"/>
    <x v="1"/>
    <x v="4"/>
    <s v="Personal Folder Holder, Ebony"/>
    <n v="33.630000000000003"/>
    <n v="3"/>
    <n v="0"/>
    <n v="10.088999999999999"/>
  </r>
  <r>
    <n v="731"/>
    <s v="US-2018-150861"/>
    <x v="275"/>
    <x v="2"/>
    <x v="283"/>
    <s v="Oceanside"/>
    <x v="15"/>
    <x v="3"/>
    <x v="0"/>
    <x v="1"/>
    <s v="Global Leather Highback Executive Chair with Pneumatic Height Adjustment, Black"/>
    <n v="542.64599999999996"/>
    <n v="3"/>
    <n v="0.1"/>
    <n v="102.49980000000001"/>
  </r>
  <r>
    <n v="732"/>
    <s v="US-2018-150861"/>
    <x v="275"/>
    <x v="2"/>
    <x v="283"/>
    <s v="Oceanside"/>
    <x v="15"/>
    <x v="3"/>
    <x v="1"/>
    <x v="2"/>
    <s v="Avery 520"/>
    <n v="6.3"/>
    <n v="2"/>
    <n v="0"/>
    <n v="3.024"/>
  </r>
  <r>
    <n v="733"/>
    <s v="CA-2019-131954"/>
    <x v="276"/>
    <x v="1"/>
    <x v="284"/>
    <s v="Seattle"/>
    <x v="4"/>
    <x v="1"/>
    <x v="1"/>
    <x v="4"/>
    <s v="Carina Double Wide Media Storage Towers in Natural &amp; Black"/>
    <n v="242.94"/>
    <n v="3"/>
    <n v="0"/>
    <n v="9.7175999999999902"/>
  </r>
  <r>
    <n v="734"/>
    <s v="CA-2019-131954"/>
    <x v="276"/>
    <x v="1"/>
    <x v="284"/>
    <s v="Seattle"/>
    <x v="4"/>
    <x v="1"/>
    <x v="2"/>
    <x v="11"/>
    <s v="Logitech Illuminated - Keyboard"/>
    <n v="179.97"/>
    <n v="3"/>
    <n v="0"/>
    <n v="86.385600000000011"/>
  </r>
  <r>
    <n v="735"/>
    <s v="CA-2019-131954"/>
    <x v="276"/>
    <x v="1"/>
    <x v="284"/>
    <s v="Seattle"/>
    <x v="4"/>
    <x v="1"/>
    <x v="1"/>
    <x v="8"/>
    <s v="Wilson Jones Century Plastic Molded Ring Binders"/>
    <n v="99.695999999999998"/>
    <n v="6"/>
    <n v="0.2"/>
    <n v="33.647399999999998"/>
  </r>
  <r>
    <n v="736"/>
    <s v="CA-2019-131954"/>
    <x v="276"/>
    <x v="1"/>
    <x v="284"/>
    <s v="Seattle"/>
    <x v="4"/>
    <x v="1"/>
    <x v="1"/>
    <x v="8"/>
    <s v="Wilson Jones Leather-Like Binders with DublLock Round Rings"/>
    <n v="27.936000000000003"/>
    <n v="4"/>
    <n v="0.2"/>
    <n v="9.4283999999999963"/>
  </r>
  <r>
    <n v="737"/>
    <s v="CA-2019-131954"/>
    <x v="276"/>
    <x v="1"/>
    <x v="284"/>
    <s v="Seattle"/>
    <x v="4"/>
    <x v="1"/>
    <x v="0"/>
    <x v="0"/>
    <s v="O'Sullivan Cherrywood Estates Traditional Bookcase"/>
    <n v="84.98"/>
    <n v="1"/>
    <n v="0"/>
    <n v="18.695599999999999"/>
  </r>
  <r>
    <n v="738"/>
    <s v="CA-2019-131954"/>
    <x v="276"/>
    <x v="1"/>
    <x v="284"/>
    <s v="Seattle"/>
    <x v="4"/>
    <x v="1"/>
    <x v="1"/>
    <x v="8"/>
    <s v="Acco Translucent Poly Ring Binders"/>
    <n v="18.72"/>
    <n v="5"/>
    <n v="0.2"/>
    <n v="6.5519999999999996"/>
  </r>
  <r>
    <n v="739"/>
    <s v="CA-2016-132500"/>
    <x v="78"/>
    <x v="1"/>
    <x v="47"/>
    <s v="San Francisco"/>
    <x v="1"/>
    <x v="1"/>
    <x v="2"/>
    <x v="11"/>
    <s v="Logitech Wireless Touch Keyboard K400"/>
    <n v="49.98"/>
    <n v="2"/>
    <n v="0"/>
    <n v="8.4965999999999937"/>
  </r>
  <r>
    <n v="740"/>
    <s v="CA-2016-112326"/>
    <x v="277"/>
    <x v="1"/>
    <x v="285"/>
    <s v="Naperville"/>
    <x v="10"/>
    <x v="2"/>
    <x v="1"/>
    <x v="2"/>
    <s v="Avery 508"/>
    <n v="11.784000000000001"/>
    <n v="3"/>
    <n v="0.2"/>
    <n v="4.2716999999999992"/>
  </r>
  <r>
    <n v="741"/>
    <s v="CA-2016-112326"/>
    <x v="277"/>
    <x v="1"/>
    <x v="285"/>
    <s v="Naperville"/>
    <x v="10"/>
    <x v="2"/>
    <x v="1"/>
    <x v="4"/>
    <s v="SAFCO Boltless Steel Shelving"/>
    <n v="272.73599999999999"/>
    <n v="3"/>
    <n v="0.2"/>
    <n v="-64.774800000000013"/>
  </r>
  <r>
    <n v="742"/>
    <s v="CA-2016-112326"/>
    <x v="277"/>
    <x v="1"/>
    <x v="285"/>
    <s v="Naperville"/>
    <x v="10"/>
    <x v="2"/>
    <x v="1"/>
    <x v="8"/>
    <s v="GBC Standard Plastic Binding Systems Combs"/>
    <n v="3.5399999999999991"/>
    <n v="2"/>
    <n v="0.8"/>
    <n v="-5.4870000000000001"/>
  </r>
  <r>
    <n v="743"/>
    <s v="US-2018-146710"/>
    <x v="278"/>
    <x v="1"/>
    <x v="286"/>
    <s v="Dallas"/>
    <x v="5"/>
    <x v="2"/>
    <x v="1"/>
    <x v="14"/>
    <s v="Martin-Yale Premier Letter Opener"/>
    <n v="51.52000000000001"/>
    <n v="5"/>
    <n v="0.2"/>
    <n v="-10.948000000000002"/>
  </r>
  <r>
    <n v="744"/>
    <s v="US-2018-146710"/>
    <x v="278"/>
    <x v="1"/>
    <x v="286"/>
    <s v="Dallas"/>
    <x v="5"/>
    <x v="2"/>
    <x v="1"/>
    <x v="10"/>
    <s v="Ampad Gold Fibre Wirebound Steno Books, 6&quot; x 9&quot;, Gregg Ruled"/>
    <n v="3.5280000000000005"/>
    <n v="1"/>
    <n v="0.2"/>
    <n v="1.1465999999999998"/>
  </r>
  <r>
    <n v="745"/>
    <s v="US-2018-146710"/>
    <x v="278"/>
    <x v="1"/>
    <x v="286"/>
    <s v="Dallas"/>
    <x v="5"/>
    <x v="2"/>
    <x v="1"/>
    <x v="10"/>
    <s v="Xerox 196"/>
    <n v="4.6240000000000006"/>
    <n v="1"/>
    <n v="0.2"/>
    <n v="1.6762000000000001"/>
  </r>
  <r>
    <n v="746"/>
    <s v="US-2018-146710"/>
    <x v="278"/>
    <x v="1"/>
    <x v="286"/>
    <s v="Dallas"/>
    <x v="5"/>
    <x v="2"/>
    <x v="1"/>
    <x v="14"/>
    <s v="Fiskars 8&quot; Scissors, 2/Pack"/>
    <n v="55.167999999999999"/>
    <n v="4"/>
    <n v="0.2"/>
    <n v="6.2063999999999897"/>
  </r>
  <r>
    <n v="747"/>
    <s v="CA-2016-124429"/>
    <x v="279"/>
    <x v="3"/>
    <x v="186"/>
    <s v="San Diego"/>
    <x v="1"/>
    <x v="1"/>
    <x v="0"/>
    <x v="3"/>
    <s v="KI Conference Tables"/>
    <n v="567.12"/>
    <n v="10"/>
    <n v="0.2"/>
    <n v="-28.355999999999952"/>
  </r>
  <r>
    <n v="748"/>
    <s v="CA-2016-124429"/>
    <x v="279"/>
    <x v="3"/>
    <x v="186"/>
    <s v="San Diego"/>
    <x v="1"/>
    <x v="1"/>
    <x v="1"/>
    <x v="4"/>
    <s v="Fellowes Officeware Wire Shelving"/>
    <n v="359.32"/>
    <n v="4"/>
    <n v="0"/>
    <n v="7.1863999999999919"/>
  </r>
  <r>
    <n v="749"/>
    <s v="CA-2018-150889"/>
    <x v="231"/>
    <x v="0"/>
    <x v="287"/>
    <s v="Evanston"/>
    <x v="10"/>
    <x v="2"/>
    <x v="2"/>
    <x v="7"/>
    <s v="Belkin iPhone and iPad Lightning Cable"/>
    <n v="11.992000000000001"/>
    <n v="1"/>
    <n v="0.2"/>
    <n v="0.89939999999999909"/>
  </r>
  <r>
    <n v="750"/>
    <s v="CA-2019-126074"/>
    <x v="280"/>
    <x v="1"/>
    <x v="288"/>
    <s v="Trenton"/>
    <x v="12"/>
    <x v="2"/>
    <x v="1"/>
    <x v="8"/>
    <s v="GBC Durable Plastic Covers"/>
    <n v="58.050000000000004"/>
    <n v="3"/>
    <n v="0"/>
    <n v="26.702999999999999"/>
  </r>
  <r>
    <n v="751"/>
    <s v="CA-2019-126074"/>
    <x v="280"/>
    <x v="1"/>
    <x v="288"/>
    <s v="Trenton"/>
    <x v="12"/>
    <x v="2"/>
    <x v="0"/>
    <x v="5"/>
    <s v="Nu-Dell Leatherette Frames"/>
    <n v="157.74"/>
    <n v="11"/>
    <n v="0"/>
    <n v="56.7864"/>
  </r>
  <r>
    <n v="752"/>
    <s v="CA-2019-126074"/>
    <x v="280"/>
    <x v="1"/>
    <x v="288"/>
    <s v="Trenton"/>
    <x v="12"/>
    <x v="2"/>
    <x v="1"/>
    <x v="6"/>
    <s v="Avery Hi-Liter EverBold Pen Style Fluorescent Highlighters, 4/Pack"/>
    <n v="56.980000000000004"/>
    <n v="7"/>
    <n v="0"/>
    <n v="22.792000000000002"/>
  </r>
  <r>
    <n v="753"/>
    <s v="CA-2019-126074"/>
    <x v="280"/>
    <x v="1"/>
    <x v="288"/>
    <s v="Trenton"/>
    <x v="12"/>
    <x v="2"/>
    <x v="1"/>
    <x v="8"/>
    <s v="Avery Durable Binders"/>
    <n v="2.88"/>
    <n v="1"/>
    <n v="0"/>
    <n v="1.4112"/>
  </r>
  <r>
    <n v="754"/>
    <s v="CA-2018-110499"/>
    <x v="281"/>
    <x v="2"/>
    <x v="289"/>
    <s v="San Francisco"/>
    <x v="1"/>
    <x v="1"/>
    <x v="2"/>
    <x v="16"/>
    <s v="Hewlett Packard 610 Color Digital Copier / Printer"/>
    <n v="1199.9760000000001"/>
    <n v="3"/>
    <n v="0.2"/>
    <n v="374.99249999999995"/>
  </r>
  <r>
    <n v="755"/>
    <s v="CA-2017-135272"/>
    <x v="214"/>
    <x v="1"/>
    <x v="234"/>
    <s v="Los Angeles"/>
    <x v="1"/>
    <x v="1"/>
    <x v="0"/>
    <x v="5"/>
    <s v="12-1/2 Diameter Round Wall Clock"/>
    <n v="79.92"/>
    <n v="4"/>
    <n v="0"/>
    <n v="28.7712"/>
  </r>
  <r>
    <n v="756"/>
    <s v="CA-2018-140928"/>
    <x v="31"/>
    <x v="1"/>
    <x v="240"/>
    <s v="Jacksonville"/>
    <x v="2"/>
    <x v="0"/>
    <x v="0"/>
    <x v="3"/>
    <s v="Chromcraft Round Conference Tables"/>
    <n v="383.43799999999999"/>
    <n v="4"/>
    <n v="0.45"/>
    <n v="-167.3184"/>
  </r>
  <r>
    <n v="757"/>
    <s v="CA-2016-106803"/>
    <x v="282"/>
    <x v="1"/>
    <x v="290"/>
    <s v="Cottage Grove"/>
    <x v="11"/>
    <x v="2"/>
    <x v="1"/>
    <x v="4"/>
    <s v="Recycled Eldon Regeneration Jumbo File"/>
    <n v="24.56"/>
    <n v="2"/>
    <n v="0"/>
    <n v="6.8767999999999994"/>
  </r>
  <r>
    <n v="758"/>
    <s v="CA-2016-106803"/>
    <x v="282"/>
    <x v="1"/>
    <x v="290"/>
    <s v="Cottage Grove"/>
    <x v="11"/>
    <x v="2"/>
    <x v="2"/>
    <x v="11"/>
    <s v="Imation 32GB Pocket Pro USB 3.0 Flash Drive - 32 GB - Black - 1 P ..."/>
    <n v="119.8"/>
    <n v="4"/>
    <n v="0"/>
    <n v="47.92"/>
  </r>
  <r>
    <n v="759"/>
    <s v="CA-2019-117240"/>
    <x v="283"/>
    <x v="1"/>
    <x v="291"/>
    <s v="New York City"/>
    <x v="15"/>
    <x v="3"/>
    <x v="1"/>
    <x v="8"/>
    <s v="Angle-D Ring Binders"/>
    <n v="13.128"/>
    <n v="3"/>
    <n v="0.2"/>
    <n v="4.2665999999999986"/>
  </r>
  <r>
    <n v="760"/>
    <s v="CA-2019-133333"/>
    <x v="65"/>
    <x v="1"/>
    <x v="292"/>
    <s v="Green Bay"/>
    <x v="6"/>
    <x v="2"/>
    <x v="1"/>
    <x v="10"/>
    <s v="Adams Telephone Message Book W/Dividers/Space For Phone Numbers, 5 1/4&quot;X8 1/2&quot;, 200/Messages"/>
    <n v="22.72"/>
    <n v="4"/>
    <n v="0"/>
    <n v="10.223999999999998"/>
  </r>
  <r>
    <n v="761"/>
    <s v="CA-2017-112319"/>
    <x v="284"/>
    <x v="1"/>
    <x v="239"/>
    <s v="Los Angeles"/>
    <x v="1"/>
    <x v="1"/>
    <x v="1"/>
    <x v="10"/>
    <s v="Xerox 226"/>
    <n v="58.320000000000007"/>
    <n v="9"/>
    <n v="0"/>
    <n v="27.993600000000001"/>
  </r>
  <r>
    <n v="762"/>
    <s v="CA-2019-126046"/>
    <x v="132"/>
    <x v="1"/>
    <x v="36"/>
    <s v="Atlanta"/>
    <x v="32"/>
    <x v="0"/>
    <x v="1"/>
    <x v="2"/>
    <s v="Avery 476"/>
    <n v="12.39"/>
    <n v="3"/>
    <n v="0"/>
    <n v="5.6993999999999998"/>
  </r>
  <r>
    <n v="763"/>
    <s v="CA-2017-114923"/>
    <x v="285"/>
    <x v="1"/>
    <x v="293"/>
    <s v="Columbus"/>
    <x v="24"/>
    <x v="3"/>
    <x v="2"/>
    <x v="7"/>
    <s v="JBL Micro Wireless Portable Bluetooth Speaker"/>
    <n v="107.982"/>
    <n v="3"/>
    <n v="0.4"/>
    <n v="-26.995499999999993"/>
  </r>
  <r>
    <n v="764"/>
    <s v="CA-2016-162775"/>
    <x v="286"/>
    <x v="0"/>
    <x v="294"/>
    <s v="Bossier City"/>
    <x v="28"/>
    <x v="0"/>
    <x v="1"/>
    <x v="12"/>
    <s v="Staple envelope"/>
    <n v="11.36"/>
    <n v="2"/>
    <n v="0"/>
    <n v="5.3391999999999991"/>
  </r>
  <r>
    <n v="765"/>
    <s v="CA-2016-162775"/>
    <x v="286"/>
    <x v="0"/>
    <x v="294"/>
    <s v="Bossier City"/>
    <x v="28"/>
    <x v="0"/>
    <x v="1"/>
    <x v="12"/>
    <s v="Brown Kraft Recycled Envelopes"/>
    <n v="50.94"/>
    <n v="3"/>
    <n v="0"/>
    <n v="25.47"/>
  </r>
  <r>
    <n v="766"/>
    <s v="CA-2016-162775"/>
    <x v="286"/>
    <x v="0"/>
    <x v="294"/>
    <s v="Bossier City"/>
    <x v="28"/>
    <x v="0"/>
    <x v="2"/>
    <x v="11"/>
    <s v="Plantronics S12 Corded Telephone Headset System"/>
    <n v="646.74"/>
    <n v="6"/>
    <n v="0"/>
    <n v="258.69600000000003"/>
  </r>
  <r>
    <n v="767"/>
    <s v="CA-2016-162775"/>
    <x v="286"/>
    <x v="0"/>
    <x v="294"/>
    <s v="Bossier City"/>
    <x v="28"/>
    <x v="0"/>
    <x v="1"/>
    <x v="8"/>
    <s v="3-ring staple pack"/>
    <n v="5.64"/>
    <n v="3"/>
    <n v="0"/>
    <n v="2.7071999999999994"/>
  </r>
  <r>
    <n v="768"/>
    <s v="CA-2016-162775"/>
    <x v="286"/>
    <x v="0"/>
    <x v="294"/>
    <s v="Bossier City"/>
    <x v="28"/>
    <x v="0"/>
    <x v="1"/>
    <x v="4"/>
    <s v="Fellowes Stor/Drawer Steel Plus Storage Drawers"/>
    <n v="572.58000000000004"/>
    <n v="6"/>
    <n v="0"/>
    <n v="34.354799999999955"/>
  </r>
  <r>
    <n v="769"/>
    <s v="CA-2016-106810"/>
    <x v="287"/>
    <x v="1"/>
    <x v="295"/>
    <s v="Saint Petersburg"/>
    <x v="2"/>
    <x v="0"/>
    <x v="0"/>
    <x v="5"/>
    <s v="Electrix Halogen Magnifier Lamp"/>
    <n v="310.88000000000005"/>
    <n v="2"/>
    <n v="0.2"/>
    <n v="23.315999999999988"/>
  </r>
  <r>
    <n v="770"/>
    <s v="CA-2018-157245"/>
    <x v="288"/>
    <x v="1"/>
    <x v="97"/>
    <s v="Arlington"/>
    <x v="17"/>
    <x v="0"/>
    <x v="0"/>
    <x v="1"/>
    <s v="Hon 4070 Series Pagoda Round Back Stacking Chairs"/>
    <n v="641.96"/>
    <n v="2"/>
    <n v="0"/>
    <n v="179.74880000000002"/>
  </r>
  <r>
    <n v="771"/>
    <s v="CA-2019-104220"/>
    <x v="289"/>
    <x v="1"/>
    <x v="296"/>
    <s v="Des Moines"/>
    <x v="23"/>
    <x v="2"/>
    <x v="1"/>
    <x v="8"/>
    <s v="Cardinal EasyOpen D-Ring Binders"/>
    <n v="18.28"/>
    <n v="2"/>
    <n v="0"/>
    <n v="9.14"/>
  </r>
  <r>
    <n v="772"/>
    <s v="CA-2019-104220"/>
    <x v="289"/>
    <x v="1"/>
    <x v="296"/>
    <s v="Des Moines"/>
    <x v="23"/>
    <x v="2"/>
    <x v="2"/>
    <x v="7"/>
    <s v="AT&amp;T 841000 Phone"/>
    <n v="207"/>
    <n v="3"/>
    <n v="0"/>
    <n v="51.75"/>
  </r>
  <r>
    <n v="773"/>
    <s v="CA-2019-104220"/>
    <x v="289"/>
    <x v="1"/>
    <x v="296"/>
    <s v="Des Moines"/>
    <x v="23"/>
    <x v="2"/>
    <x v="1"/>
    <x v="8"/>
    <s v="GBC Instant Report Kit"/>
    <n v="32.35"/>
    <n v="5"/>
    <n v="0"/>
    <n v="16.175000000000001"/>
  </r>
  <r>
    <n v="774"/>
    <s v="CA-2019-104220"/>
    <x v="289"/>
    <x v="1"/>
    <x v="296"/>
    <s v="Des Moines"/>
    <x v="23"/>
    <x v="2"/>
    <x v="1"/>
    <x v="8"/>
    <s v="DXL Angle-View Binders with Locking Rings by Samsill"/>
    <n v="7.71"/>
    <n v="1"/>
    <n v="0"/>
    <n v="3.4695"/>
  </r>
  <r>
    <n v="775"/>
    <s v="CA-2019-104220"/>
    <x v="289"/>
    <x v="1"/>
    <x v="296"/>
    <s v="Des Moines"/>
    <x v="23"/>
    <x v="2"/>
    <x v="1"/>
    <x v="6"/>
    <s v="Boston 19500 Mighty Mite Electric Pencil Sharpener"/>
    <n v="40.299999999999997"/>
    <n v="2"/>
    <n v="0"/>
    <n v="10.881"/>
  </r>
  <r>
    <n v="776"/>
    <s v="CA-2019-104220"/>
    <x v="289"/>
    <x v="1"/>
    <x v="296"/>
    <s v="Des Moines"/>
    <x v="23"/>
    <x v="2"/>
    <x v="0"/>
    <x v="5"/>
    <s v="C-Line Magnetic Cubicle Keepers, Clear Polypropylene"/>
    <n v="34.580000000000005"/>
    <n v="7"/>
    <n v="0"/>
    <n v="14.523600000000002"/>
  </r>
  <r>
    <n v="777"/>
    <s v="CA-2016-165974"/>
    <x v="290"/>
    <x v="1"/>
    <x v="297"/>
    <s v="Cincinnati"/>
    <x v="24"/>
    <x v="3"/>
    <x v="1"/>
    <x v="6"/>
    <s v="Dixon My First Ticonderoga Pencil, #2"/>
    <n v="32.76"/>
    <n v="7"/>
    <n v="0.2"/>
    <n v="3.6854999999999958"/>
  </r>
  <r>
    <n v="778"/>
    <s v="CA-2017-144267"/>
    <x v="291"/>
    <x v="2"/>
    <x v="125"/>
    <s v="San Francisco"/>
    <x v="1"/>
    <x v="1"/>
    <x v="0"/>
    <x v="1"/>
    <s v="Hon GuestStacker Chair"/>
    <n v="544.00800000000004"/>
    <n v="3"/>
    <n v="0.2"/>
    <n v="40.800600000000003"/>
  </r>
  <r>
    <n v="779"/>
    <s v="CA-2017-144267"/>
    <x v="291"/>
    <x v="2"/>
    <x v="125"/>
    <s v="San Francisco"/>
    <x v="1"/>
    <x v="1"/>
    <x v="1"/>
    <x v="10"/>
    <s v="Xerox 191"/>
    <n v="59.94"/>
    <n v="3"/>
    <n v="0"/>
    <n v="28.171799999999998"/>
  </r>
  <r>
    <n v="780"/>
    <s v="CA-2017-144267"/>
    <x v="291"/>
    <x v="2"/>
    <x v="125"/>
    <s v="San Francisco"/>
    <x v="1"/>
    <x v="1"/>
    <x v="1"/>
    <x v="10"/>
    <s v="Xerox 1974"/>
    <n v="23.92"/>
    <n v="4"/>
    <n v="0"/>
    <n v="11.720800000000001"/>
  </r>
  <r>
    <n v="781"/>
    <s v="CA-2017-144267"/>
    <x v="291"/>
    <x v="2"/>
    <x v="125"/>
    <s v="San Francisco"/>
    <x v="1"/>
    <x v="1"/>
    <x v="1"/>
    <x v="10"/>
    <s v="Xerox 1927"/>
    <n v="4.28"/>
    <n v="1"/>
    <n v="0"/>
    <n v="1.9259999999999997"/>
  </r>
  <r>
    <n v="782"/>
    <s v="US-2017-157014"/>
    <x v="292"/>
    <x v="0"/>
    <x v="298"/>
    <s v="Columbus"/>
    <x v="24"/>
    <x v="3"/>
    <x v="1"/>
    <x v="8"/>
    <s v="Acco D-Ring Binder w/DublLock"/>
    <n v="32.07"/>
    <n v="5"/>
    <n v="0.7"/>
    <n v="-22.448999999999991"/>
  </r>
  <r>
    <n v="783"/>
    <s v="US-2017-157014"/>
    <x v="292"/>
    <x v="0"/>
    <x v="298"/>
    <s v="Columbus"/>
    <x v="24"/>
    <x v="3"/>
    <x v="2"/>
    <x v="11"/>
    <s v="Imation 8gb Micro Traveldrive Usb 2.0 Flash Drive"/>
    <n v="24"/>
    <n v="2"/>
    <n v="0.2"/>
    <n v="-2.6999999999999993"/>
  </r>
  <r>
    <n v="784"/>
    <s v="US-2017-157014"/>
    <x v="292"/>
    <x v="0"/>
    <x v="298"/>
    <s v="Columbus"/>
    <x v="24"/>
    <x v="3"/>
    <x v="0"/>
    <x v="0"/>
    <s v="Safco Value Mate Series Steel Bookcases, Baked Enamel Finish on Steel, Gray"/>
    <n v="35.49"/>
    <n v="1"/>
    <n v="0.5"/>
    <n v="-15.615600000000001"/>
  </r>
  <r>
    <n v="785"/>
    <s v="US-2017-157014"/>
    <x v="292"/>
    <x v="0"/>
    <x v="298"/>
    <s v="Columbus"/>
    <x v="24"/>
    <x v="3"/>
    <x v="2"/>
    <x v="11"/>
    <s v="Microsoft Natural Ergonomic Keyboard 4000"/>
    <n v="47.984000000000002"/>
    <n v="2"/>
    <n v="0.2"/>
    <n v="0.59979999999999656"/>
  </r>
  <r>
    <n v="786"/>
    <s v="CA-2017-154921"/>
    <x v="293"/>
    <x v="1"/>
    <x v="105"/>
    <s v="Columbia"/>
    <x v="20"/>
    <x v="0"/>
    <x v="1"/>
    <x v="12"/>
    <s v="Cameo Buff Policy Envelopes"/>
    <n v="186.69"/>
    <n v="3"/>
    <n v="0"/>
    <n v="87.744299999999981"/>
  </r>
  <r>
    <n v="787"/>
    <s v="CA-2019-129567"/>
    <x v="294"/>
    <x v="0"/>
    <x v="52"/>
    <s v="Lancaster"/>
    <x v="1"/>
    <x v="1"/>
    <x v="1"/>
    <x v="8"/>
    <s v="Heavy-Duty E-Z-D Binders"/>
    <n v="17.456"/>
    <n v="2"/>
    <n v="0.2"/>
    <n v="5.8914"/>
  </r>
  <r>
    <n v="788"/>
    <s v="CA-2017-154620"/>
    <x v="295"/>
    <x v="1"/>
    <x v="299"/>
    <s v="Lancaster"/>
    <x v="1"/>
    <x v="1"/>
    <x v="0"/>
    <x v="1"/>
    <s v="Lifetime Advantage Folding Chairs, 4/Carton"/>
    <n v="348.92800000000005"/>
    <n v="2"/>
    <n v="0.2"/>
    <n v="34.89279999999998"/>
  </r>
  <r>
    <n v="789"/>
    <s v="CA-2017-115938"/>
    <x v="153"/>
    <x v="1"/>
    <x v="193"/>
    <s v="Richmond"/>
    <x v="17"/>
    <x v="0"/>
    <x v="1"/>
    <x v="8"/>
    <s v="GBC VeloBinder Manual Binding System"/>
    <n v="143.96"/>
    <n v="4"/>
    <n v="0"/>
    <n v="69.100800000000007"/>
  </r>
  <r>
    <n v="790"/>
    <s v="CA-2017-115938"/>
    <x v="153"/>
    <x v="1"/>
    <x v="193"/>
    <s v="Richmond"/>
    <x v="17"/>
    <x v="0"/>
    <x v="1"/>
    <x v="4"/>
    <s v="Decoflex Hanging Personal Folder File, Blue"/>
    <n v="15.42"/>
    <n v="1"/>
    <n v="0"/>
    <n v="4.1634000000000011"/>
  </r>
  <r>
    <n v="791"/>
    <s v="CA-2017-115938"/>
    <x v="153"/>
    <x v="1"/>
    <x v="193"/>
    <s v="Richmond"/>
    <x v="17"/>
    <x v="0"/>
    <x v="1"/>
    <x v="8"/>
    <s v="Acco PRESSTEX Data Binder with Storage Hooks, Dark Blue, 9 1/2&quot; X 11&quot;"/>
    <n v="43.04"/>
    <n v="8"/>
    <n v="0"/>
    <n v="21.089600000000001"/>
  </r>
  <r>
    <n v="792"/>
    <s v="CA-2017-115938"/>
    <x v="153"/>
    <x v="1"/>
    <x v="193"/>
    <s v="Richmond"/>
    <x v="17"/>
    <x v="0"/>
    <x v="0"/>
    <x v="1"/>
    <s v="Office Star - Contemporary Task Swivel Chair"/>
    <n v="332.94"/>
    <n v="3"/>
    <n v="0"/>
    <n v="79.905599999999993"/>
  </r>
  <r>
    <n v="793"/>
    <s v="CA-2018-105256"/>
    <x v="244"/>
    <x v="3"/>
    <x v="300"/>
    <s v="Asheville"/>
    <x v="3"/>
    <x v="0"/>
    <x v="2"/>
    <x v="7"/>
    <s v="Cisco Unified IP Phone 7945G VoIP phone"/>
    <n v="1363.96"/>
    <n v="5"/>
    <n v="0.2"/>
    <n v="85.247500000000002"/>
  </r>
  <r>
    <n v="794"/>
    <s v="CA-2016-156433"/>
    <x v="59"/>
    <x v="1"/>
    <x v="301"/>
    <s v="San Francisco"/>
    <x v="1"/>
    <x v="1"/>
    <x v="1"/>
    <x v="2"/>
    <s v="Avery 499"/>
    <n v="9.9600000000000009"/>
    <n v="2"/>
    <n v="0"/>
    <n v="4.5815999999999999"/>
  </r>
  <r>
    <n v="795"/>
    <s v="CA-2016-156433"/>
    <x v="59"/>
    <x v="1"/>
    <x v="301"/>
    <s v="San Francisco"/>
    <x v="1"/>
    <x v="1"/>
    <x v="1"/>
    <x v="10"/>
    <s v="Wirebound Message Book, 4 per Page"/>
    <n v="21.72"/>
    <n v="4"/>
    <n v="0"/>
    <n v="10.642799999999999"/>
  </r>
  <r>
    <n v="796"/>
    <s v="CA-2019-151428"/>
    <x v="296"/>
    <x v="1"/>
    <x v="302"/>
    <s v="Rochester"/>
    <x v="11"/>
    <x v="2"/>
    <x v="1"/>
    <x v="8"/>
    <s v="Avery Durable Binders"/>
    <n v="20.16"/>
    <n v="7"/>
    <n v="0"/>
    <n v="9.8783999999999992"/>
  </r>
  <r>
    <n v="797"/>
    <s v="CA-2017-124653"/>
    <x v="100"/>
    <x v="2"/>
    <x v="106"/>
    <s v="Rochester"/>
    <x v="15"/>
    <x v="3"/>
    <x v="1"/>
    <x v="10"/>
    <s v="Xerox 1887"/>
    <n v="132.79"/>
    <n v="7"/>
    <n v="0"/>
    <n v="63.739199999999997"/>
  </r>
  <r>
    <n v="798"/>
    <s v="CA-2017-124653"/>
    <x v="100"/>
    <x v="2"/>
    <x v="106"/>
    <s v="Rochester"/>
    <x v="15"/>
    <x v="3"/>
    <x v="1"/>
    <x v="10"/>
    <s v="Xerox 1967"/>
    <n v="12.96"/>
    <n v="2"/>
    <n v="0"/>
    <n v="6.2208000000000006"/>
  </r>
  <r>
    <n v="799"/>
    <s v="CA-2017-124653"/>
    <x v="100"/>
    <x v="2"/>
    <x v="106"/>
    <s v="Rochester"/>
    <x v="15"/>
    <x v="3"/>
    <x v="1"/>
    <x v="2"/>
    <s v="Smead Alpha-Z Color-Coded Second Alphabetical Labels and Starter Set"/>
    <n v="21.560000000000002"/>
    <n v="7"/>
    <n v="0"/>
    <n v="10.348799999999999"/>
  </r>
  <r>
    <n v="800"/>
    <s v="CA-2017-101910"/>
    <x v="154"/>
    <x v="1"/>
    <x v="303"/>
    <s v="Lake Elsinore"/>
    <x v="1"/>
    <x v="1"/>
    <x v="0"/>
    <x v="1"/>
    <s v="Situations Contoured Folding Chairs, 4/Set"/>
    <n v="283.92"/>
    <n v="5"/>
    <n v="0.2"/>
    <n v="17.745000000000019"/>
  </r>
  <r>
    <n v="801"/>
    <s v="CA-2019-105809"/>
    <x v="297"/>
    <x v="2"/>
    <x v="304"/>
    <s v="San Diego"/>
    <x v="1"/>
    <x v="1"/>
    <x v="0"/>
    <x v="5"/>
    <s v="Executive Impressions 14&quot; Contract Wall Clock"/>
    <n v="22.23"/>
    <n v="1"/>
    <n v="0"/>
    <n v="7.3358999999999988"/>
  </r>
  <r>
    <n v="802"/>
    <s v="CA-2019-105809"/>
    <x v="297"/>
    <x v="2"/>
    <x v="304"/>
    <s v="San Diego"/>
    <x v="1"/>
    <x v="1"/>
    <x v="2"/>
    <x v="7"/>
    <s v="Logitech Mobile Speakerphone P710e - speaker phone"/>
    <n v="215.96799999999999"/>
    <n v="2"/>
    <n v="0.2"/>
    <n v="18.897199999999991"/>
  </r>
  <r>
    <n v="803"/>
    <s v="CA-2018-136133"/>
    <x v="298"/>
    <x v="0"/>
    <x v="304"/>
    <s v="New York City"/>
    <x v="15"/>
    <x v="3"/>
    <x v="1"/>
    <x v="9"/>
    <s v="Belkin 7 Outlet SurgeMaster II"/>
    <n v="355.32"/>
    <n v="9"/>
    <n v="0"/>
    <n v="99.48960000000001"/>
  </r>
  <r>
    <n v="804"/>
    <s v="CA-2018-115504"/>
    <x v="299"/>
    <x v="1"/>
    <x v="305"/>
    <s v="Monroe"/>
    <x v="28"/>
    <x v="0"/>
    <x v="1"/>
    <x v="10"/>
    <s v="Xerox 218"/>
    <n v="12.96"/>
    <n v="2"/>
    <n v="0"/>
    <n v="6.2208000000000006"/>
  </r>
  <r>
    <n v="805"/>
    <s v="CA-2019-135783"/>
    <x v="300"/>
    <x v="2"/>
    <x v="306"/>
    <s v="San Francisco"/>
    <x v="1"/>
    <x v="1"/>
    <x v="0"/>
    <x v="5"/>
    <s v="Eldon Stackable Tray, Side-Load, Legal, Smoke"/>
    <n v="18.28"/>
    <n v="2"/>
    <n v="0"/>
    <n v="6.2151999999999994"/>
  </r>
  <r>
    <n v="806"/>
    <s v="CA-2016-134313"/>
    <x v="301"/>
    <x v="1"/>
    <x v="154"/>
    <s v="Denver"/>
    <x v="22"/>
    <x v="1"/>
    <x v="1"/>
    <x v="6"/>
    <s v="Model L Table or Wall-Mount Pencil Sharpener"/>
    <n v="43.176000000000002"/>
    <n v="3"/>
    <n v="0.2"/>
    <n v="4.3176000000000005"/>
  </r>
  <r>
    <n v="807"/>
    <s v="CA-2016-134313"/>
    <x v="301"/>
    <x v="1"/>
    <x v="154"/>
    <s v="Denver"/>
    <x v="22"/>
    <x v="1"/>
    <x v="2"/>
    <x v="7"/>
    <s v="ClearOne CHATAttach 160 - speaker phone"/>
    <n v="1983.9680000000001"/>
    <n v="4"/>
    <n v="0.2"/>
    <n v="247.99599999999981"/>
  </r>
  <r>
    <n v="808"/>
    <s v="CA-2017-140921"/>
    <x v="302"/>
    <x v="2"/>
    <x v="211"/>
    <s v="Omaha"/>
    <x v="8"/>
    <x v="2"/>
    <x v="0"/>
    <x v="5"/>
    <s v="Coloredge Poster Frame"/>
    <n v="28.4"/>
    <n v="2"/>
    <n v="0"/>
    <n v="11.076000000000001"/>
  </r>
  <r>
    <n v="809"/>
    <s v="CA-2017-140921"/>
    <x v="302"/>
    <x v="2"/>
    <x v="211"/>
    <s v="Omaha"/>
    <x v="8"/>
    <x v="2"/>
    <x v="2"/>
    <x v="11"/>
    <s v="Kensington SlimBlade Notebook Wireless Mouse with Nano Receiver"/>
    <n v="149.97"/>
    <n v="3"/>
    <n v="0"/>
    <n v="50.989800000000002"/>
  </r>
  <r>
    <n v="810"/>
    <s v="CA-2016-151995"/>
    <x v="303"/>
    <x v="2"/>
    <x v="233"/>
    <s v="Edmonds"/>
    <x v="4"/>
    <x v="1"/>
    <x v="1"/>
    <x v="6"/>
    <s v="Newell 32"/>
    <n v="11.52"/>
    <n v="4"/>
    <n v="0"/>
    <n v="3.2256"/>
  </r>
  <r>
    <n v="811"/>
    <s v="CA-2016-151995"/>
    <x v="303"/>
    <x v="2"/>
    <x v="233"/>
    <s v="Edmonds"/>
    <x v="4"/>
    <x v="1"/>
    <x v="0"/>
    <x v="3"/>
    <s v="Bevis Round Bullnose 29&quot; High Table Top"/>
    <n v="1298.55"/>
    <n v="5"/>
    <n v="0"/>
    <n v="311.65199999999999"/>
  </r>
  <r>
    <n v="812"/>
    <s v="CA-2016-151995"/>
    <x v="303"/>
    <x v="2"/>
    <x v="233"/>
    <s v="Edmonds"/>
    <x v="4"/>
    <x v="1"/>
    <x v="1"/>
    <x v="9"/>
    <s v="Belkin F9G930V10-GRY 9 Outlet Surge"/>
    <n v="213.92"/>
    <n v="4"/>
    <n v="0"/>
    <n v="62.036799999999971"/>
  </r>
  <r>
    <n v="813"/>
    <s v="CA-2016-151995"/>
    <x v="303"/>
    <x v="2"/>
    <x v="233"/>
    <s v="Edmonds"/>
    <x v="4"/>
    <x v="1"/>
    <x v="2"/>
    <x v="11"/>
    <s v="Sony 16GB Class 10 Micro SDHC R40 Memory Card"/>
    <n v="25.78"/>
    <n v="2"/>
    <n v="0"/>
    <n v="2.5779999999999994"/>
  </r>
  <r>
    <n v="814"/>
    <s v="CA-2019-143686"/>
    <x v="304"/>
    <x v="3"/>
    <x v="307"/>
    <s v="Santa Ana"/>
    <x v="1"/>
    <x v="1"/>
    <x v="0"/>
    <x v="5"/>
    <s v="Eldon Stackable Tray, Side-Load, Legal, Smoke"/>
    <n v="18.28"/>
    <n v="2"/>
    <n v="0"/>
    <n v="6.2151999999999994"/>
  </r>
  <r>
    <n v="815"/>
    <s v="CA-2019-143686"/>
    <x v="304"/>
    <x v="3"/>
    <x v="307"/>
    <s v="Santa Ana"/>
    <x v="1"/>
    <x v="1"/>
    <x v="2"/>
    <x v="11"/>
    <s v="Razer Tiamat Over Ear 7.1 Surround Sound PC Gaming Headset"/>
    <n v="1399.93"/>
    <n v="7"/>
    <n v="0"/>
    <n v="601.96990000000005"/>
  </r>
  <r>
    <n v="816"/>
    <s v="CA-2017-106565"/>
    <x v="305"/>
    <x v="2"/>
    <x v="308"/>
    <s v="Milwaukee"/>
    <x v="6"/>
    <x v="2"/>
    <x v="1"/>
    <x v="10"/>
    <s v="Xerox 205"/>
    <n v="51.84"/>
    <n v="8"/>
    <n v="0"/>
    <n v="24.883200000000002"/>
  </r>
  <r>
    <n v="817"/>
    <s v="CA-2018-149370"/>
    <x v="306"/>
    <x v="1"/>
    <x v="203"/>
    <s v="Philadelphia"/>
    <x v="9"/>
    <x v="3"/>
    <x v="1"/>
    <x v="10"/>
    <s v="Xerox 1968"/>
    <n v="5.3440000000000003"/>
    <n v="1"/>
    <n v="0.2"/>
    <n v="1.8703999999999998"/>
  </r>
  <r>
    <n v="818"/>
    <s v="CA-2016-140858"/>
    <x v="307"/>
    <x v="1"/>
    <x v="222"/>
    <s v="Philadelphia"/>
    <x v="9"/>
    <x v="3"/>
    <x v="1"/>
    <x v="10"/>
    <s v="Xerox 1995"/>
    <n v="41.472000000000008"/>
    <n v="8"/>
    <n v="0.2"/>
    <n v="14.5152"/>
  </r>
  <r>
    <n v="819"/>
    <s v="CA-2016-140858"/>
    <x v="307"/>
    <x v="1"/>
    <x v="222"/>
    <s v="Philadelphia"/>
    <x v="9"/>
    <x v="3"/>
    <x v="1"/>
    <x v="8"/>
    <s v="Self-Adhesive Ring Binder Labels"/>
    <n v="3.168000000000001"/>
    <n v="3"/>
    <n v="0.7"/>
    <n v="-2.4287999999999998"/>
  </r>
  <r>
    <n v="820"/>
    <s v="CA-2016-140858"/>
    <x v="307"/>
    <x v="1"/>
    <x v="222"/>
    <s v="Philadelphia"/>
    <x v="9"/>
    <x v="3"/>
    <x v="0"/>
    <x v="1"/>
    <s v="Global Leather Executive Chair"/>
    <n v="1228.4649999999999"/>
    <n v="5"/>
    <n v="0.3"/>
    <n v="0"/>
  </r>
  <r>
    <n v="821"/>
    <s v="CA-2016-140858"/>
    <x v="307"/>
    <x v="1"/>
    <x v="222"/>
    <s v="Philadelphia"/>
    <x v="9"/>
    <x v="3"/>
    <x v="1"/>
    <x v="8"/>
    <s v="GBC Recycled Grain Textured Covers"/>
    <n v="31.086000000000006"/>
    <n v="3"/>
    <n v="0.7"/>
    <n v="-22.796399999999991"/>
  </r>
  <r>
    <n v="822"/>
    <s v="CA-2016-140858"/>
    <x v="307"/>
    <x v="1"/>
    <x v="222"/>
    <s v="Philadelphia"/>
    <x v="9"/>
    <x v="3"/>
    <x v="1"/>
    <x v="10"/>
    <s v="Xerox 1941"/>
    <n v="335.52"/>
    <n v="4"/>
    <n v="0.2"/>
    <n v="117.43199999999999"/>
  </r>
  <r>
    <n v="823"/>
    <s v="CA-2019-101434"/>
    <x v="308"/>
    <x v="1"/>
    <x v="309"/>
    <s v="Belleville"/>
    <x v="30"/>
    <x v="3"/>
    <x v="2"/>
    <x v="11"/>
    <s v="Razer Kraken PRO Over Ear PC and Music Headset"/>
    <n v="239.96999999999997"/>
    <n v="3"/>
    <n v="0"/>
    <n v="71.990999999999985"/>
  </r>
  <r>
    <n v="824"/>
    <s v="CA-2019-101434"/>
    <x v="308"/>
    <x v="1"/>
    <x v="309"/>
    <s v="Belleville"/>
    <x v="30"/>
    <x v="3"/>
    <x v="1"/>
    <x v="2"/>
    <s v="Avery 508"/>
    <n v="9.82"/>
    <n v="2"/>
    <n v="0"/>
    <n v="4.8117999999999999"/>
  </r>
  <r>
    <n v="825"/>
    <s v="US-2016-102071"/>
    <x v="309"/>
    <x v="1"/>
    <x v="310"/>
    <s v="San Francisco"/>
    <x v="1"/>
    <x v="1"/>
    <x v="2"/>
    <x v="11"/>
    <s v="Kingston Digital DataTraveler 32GB USB 2.0"/>
    <n v="67.8"/>
    <n v="4"/>
    <n v="0"/>
    <n v="4.0679999999999978"/>
  </r>
  <r>
    <n v="826"/>
    <s v="US-2016-102071"/>
    <x v="309"/>
    <x v="1"/>
    <x v="310"/>
    <s v="San Francisco"/>
    <x v="1"/>
    <x v="1"/>
    <x v="2"/>
    <x v="11"/>
    <s v="Sony Micro Vault Click 16 GB USB 2.0 Flash Drive"/>
    <n v="167.97"/>
    <n v="3"/>
    <n v="0"/>
    <n v="40.31280000000001"/>
  </r>
  <r>
    <n v="827"/>
    <s v="CA-2019-126956"/>
    <x v="170"/>
    <x v="1"/>
    <x v="218"/>
    <s v="Lakeville"/>
    <x v="11"/>
    <x v="2"/>
    <x v="1"/>
    <x v="13"/>
    <s v="Advantus Plastic Paper Clips"/>
    <n v="35"/>
    <n v="7"/>
    <n v="0"/>
    <n v="16.8"/>
  </r>
  <r>
    <n v="828"/>
    <s v="CA-2019-126956"/>
    <x v="170"/>
    <x v="1"/>
    <x v="218"/>
    <s v="Lakeville"/>
    <x v="11"/>
    <x v="2"/>
    <x v="1"/>
    <x v="14"/>
    <s v="Acme Forged Steel Scissors with Black Enamel Handles"/>
    <n v="37.24"/>
    <n v="4"/>
    <n v="0"/>
    <n v="10.799599999999998"/>
  </r>
  <r>
    <n v="829"/>
    <s v="CA-2019-126956"/>
    <x v="170"/>
    <x v="1"/>
    <x v="218"/>
    <s v="Lakeville"/>
    <x v="11"/>
    <x v="2"/>
    <x v="1"/>
    <x v="12"/>
    <s v="Security-Tint Envelopes"/>
    <n v="15.28"/>
    <n v="2"/>
    <n v="0"/>
    <n v="7.4871999999999996"/>
  </r>
  <r>
    <n v="830"/>
    <s v="CA-2019-129462"/>
    <x v="114"/>
    <x v="0"/>
    <x v="32"/>
    <s v="Florence"/>
    <x v="0"/>
    <x v="0"/>
    <x v="0"/>
    <x v="1"/>
    <s v="Global Airflow Leather Mesh Back Chair, Black"/>
    <n v="301.95999999999998"/>
    <n v="2"/>
    <n v="0"/>
    <n v="90.587999999999965"/>
  </r>
  <r>
    <n v="831"/>
    <s v="CA-2019-129462"/>
    <x v="114"/>
    <x v="0"/>
    <x v="32"/>
    <s v="Florence"/>
    <x v="0"/>
    <x v="0"/>
    <x v="1"/>
    <x v="9"/>
    <s v="Fellowes Smart Surge Ten-Outlet Protector, Platinum"/>
    <n v="180.66"/>
    <n v="3"/>
    <n v="0"/>
    <n v="50.584800000000008"/>
  </r>
  <r>
    <n v="832"/>
    <s v="CA-2019-129462"/>
    <x v="114"/>
    <x v="0"/>
    <x v="32"/>
    <s v="Florence"/>
    <x v="0"/>
    <x v="0"/>
    <x v="2"/>
    <x v="7"/>
    <s v="Pyle PMP37LED"/>
    <n v="191.98"/>
    <n v="2"/>
    <n v="0"/>
    <n v="51.834599999999995"/>
  </r>
  <r>
    <n v="833"/>
    <s v="CA-2019-129462"/>
    <x v="114"/>
    <x v="0"/>
    <x v="32"/>
    <s v="Florence"/>
    <x v="0"/>
    <x v="0"/>
    <x v="2"/>
    <x v="7"/>
    <s v="Clarity 53712"/>
    <n v="65.989999999999995"/>
    <n v="1"/>
    <n v="0"/>
    <n v="17.157400000000003"/>
  </r>
  <r>
    <n v="834"/>
    <s v="CA-2018-165316"/>
    <x v="310"/>
    <x v="1"/>
    <x v="80"/>
    <s v="Tampa"/>
    <x v="2"/>
    <x v="0"/>
    <x v="1"/>
    <x v="6"/>
    <s v="Boston 16801 Nautilus Battery Pencil Sharpener"/>
    <n v="35.216000000000001"/>
    <n v="2"/>
    <n v="0.2"/>
    <n v="2.6411999999999995"/>
  </r>
  <r>
    <n v="835"/>
    <s v="CA-2018-165316"/>
    <x v="310"/>
    <x v="1"/>
    <x v="80"/>
    <s v="Tampa"/>
    <x v="2"/>
    <x v="0"/>
    <x v="1"/>
    <x v="9"/>
    <s v="Holmes Replacement Filter for HEPA Air Cleaner, Large Room"/>
    <n v="23.696000000000002"/>
    <n v="2"/>
    <n v="0.2"/>
    <n v="6.5164"/>
  </r>
  <r>
    <n v="836"/>
    <s v="CA-2018-165316"/>
    <x v="310"/>
    <x v="1"/>
    <x v="80"/>
    <s v="Tampa"/>
    <x v="2"/>
    <x v="0"/>
    <x v="2"/>
    <x v="15"/>
    <s v="Zebra GX420t Direct Thermal/Thermal Transfer Printer"/>
    <n v="265.47500000000002"/>
    <n v="1"/>
    <n v="0.5"/>
    <n v="-111.49950000000007"/>
  </r>
  <r>
    <n v="837"/>
    <s v="US-2016-115987"/>
    <x v="78"/>
    <x v="0"/>
    <x v="293"/>
    <s v="Tyler"/>
    <x v="5"/>
    <x v="2"/>
    <x v="1"/>
    <x v="8"/>
    <s v="GBC ProClick Punch Binding System"/>
    <n v="51.183999999999983"/>
    <n v="4"/>
    <n v="0.8"/>
    <n v="-79.335199999999986"/>
  </r>
  <r>
    <n v="838"/>
    <s v="US-2019-156083"/>
    <x v="259"/>
    <x v="1"/>
    <x v="311"/>
    <s v="Columbia"/>
    <x v="18"/>
    <x v="0"/>
    <x v="1"/>
    <x v="10"/>
    <s v="Adams Telephone Message Books, 5 1/4” x 11”"/>
    <n v="9.6640000000000015"/>
    <n v="2"/>
    <n v="0.2"/>
    <n v="3.2615999999999996"/>
  </r>
  <r>
    <n v="839"/>
    <s v="US-2018-137547"/>
    <x v="311"/>
    <x v="1"/>
    <x v="182"/>
    <s v="Fort Worth"/>
    <x v="5"/>
    <x v="2"/>
    <x v="2"/>
    <x v="7"/>
    <s v="Belkin Grip Candy Sheer Case / Cover for iPhone 5 and 5S"/>
    <n v="21.071999999999999"/>
    <n v="3"/>
    <n v="0.2"/>
    <n v="1.5804"/>
  </r>
  <r>
    <n v="840"/>
    <s v="CA-2017-100454"/>
    <x v="312"/>
    <x v="1"/>
    <x v="312"/>
    <s v="New York City"/>
    <x v="15"/>
    <x v="3"/>
    <x v="1"/>
    <x v="6"/>
    <s v="Boston 19500 Mighty Mite Electric Pencil Sharpener"/>
    <n v="60.449999999999996"/>
    <n v="3"/>
    <n v="0"/>
    <n v="16.3215"/>
  </r>
  <r>
    <n v="841"/>
    <s v="CA-2017-100454"/>
    <x v="312"/>
    <x v="1"/>
    <x v="312"/>
    <s v="New York City"/>
    <x v="15"/>
    <x v="3"/>
    <x v="1"/>
    <x v="6"/>
    <s v="Newell 335"/>
    <n v="11.52"/>
    <n v="4"/>
    <n v="0"/>
    <n v="3.3407999999999998"/>
  </r>
  <r>
    <n v="842"/>
    <s v="CA-2017-100454"/>
    <x v="312"/>
    <x v="1"/>
    <x v="312"/>
    <s v="New York City"/>
    <x v="15"/>
    <x v="3"/>
    <x v="0"/>
    <x v="0"/>
    <s v="O'Sullivan 3-Shelf Heavy-Duty Bookcases"/>
    <n v="186.048"/>
    <n v="4"/>
    <n v="0.2"/>
    <n v="9.3024000000000058"/>
  </r>
  <r>
    <n v="843"/>
    <s v="CA-2018-161669"/>
    <x v="77"/>
    <x v="2"/>
    <x v="313"/>
    <s v="Los Angeles"/>
    <x v="1"/>
    <x v="1"/>
    <x v="1"/>
    <x v="8"/>
    <s v="Fellowes Binding Cases"/>
    <n v="37.44"/>
    <n v="4"/>
    <n v="0.2"/>
    <n v="11.699999999999996"/>
  </r>
  <r>
    <n v="844"/>
    <s v="CA-2018-161669"/>
    <x v="77"/>
    <x v="2"/>
    <x v="313"/>
    <s v="Los Angeles"/>
    <x v="1"/>
    <x v="1"/>
    <x v="1"/>
    <x v="8"/>
    <s v="Ibico Plastic and Wire Spiral Binding Combs"/>
    <n v="26.975999999999999"/>
    <n v="4"/>
    <n v="0.2"/>
    <n v="8.767199999999999"/>
  </r>
  <r>
    <n v="845"/>
    <s v="CA-2018-161669"/>
    <x v="77"/>
    <x v="2"/>
    <x v="313"/>
    <s v="Los Angeles"/>
    <x v="1"/>
    <x v="1"/>
    <x v="1"/>
    <x v="14"/>
    <s v="Acme Preferred Stainless Steel Scissors"/>
    <n v="11.36"/>
    <n v="2"/>
    <n v="0"/>
    <n v="3.2943999999999996"/>
  </r>
  <r>
    <n v="846"/>
    <s v="CA-2018-161669"/>
    <x v="77"/>
    <x v="2"/>
    <x v="313"/>
    <s v="Los Angeles"/>
    <x v="1"/>
    <x v="1"/>
    <x v="1"/>
    <x v="2"/>
    <s v="Avery 486"/>
    <n v="14.62"/>
    <n v="2"/>
    <n v="0"/>
    <n v="6.8713999999999995"/>
  </r>
  <r>
    <n v="847"/>
    <s v="CA-2017-114300"/>
    <x v="313"/>
    <x v="1"/>
    <x v="314"/>
    <s v="Louisville"/>
    <x v="0"/>
    <x v="0"/>
    <x v="2"/>
    <x v="7"/>
    <s v="I Need's 3d Hello Kitty Hybrid Silicone Case Cover for HTC One X 4g with 3d Hello Kitty Stylus Pen Green/pink"/>
    <n v="83.72"/>
    <n v="7"/>
    <n v="0"/>
    <n v="23.441600000000005"/>
  </r>
  <r>
    <n v="848"/>
    <s v="CA-2017-114300"/>
    <x v="313"/>
    <x v="1"/>
    <x v="314"/>
    <s v="Louisville"/>
    <x v="0"/>
    <x v="0"/>
    <x v="0"/>
    <x v="1"/>
    <s v="Global Deluxe Office Fabric Chairs"/>
    <n v="287.94"/>
    <n v="3"/>
    <n v="0"/>
    <n v="77.743800000000022"/>
  </r>
  <r>
    <n v="849"/>
    <s v="CA-2019-107503"/>
    <x v="314"/>
    <x v="1"/>
    <x v="315"/>
    <s v="Lorain"/>
    <x v="24"/>
    <x v="3"/>
    <x v="0"/>
    <x v="5"/>
    <s v="Linden 10&quot; Round Wall Clock, Black"/>
    <n v="48.896000000000001"/>
    <n v="4"/>
    <n v="0.2"/>
    <n v="8.5567999999999991"/>
  </r>
  <r>
    <n v="850"/>
    <s v="CA-2016-107755"/>
    <x v="315"/>
    <x v="1"/>
    <x v="316"/>
    <s v="Linden"/>
    <x v="30"/>
    <x v="3"/>
    <x v="2"/>
    <x v="11"/>
    <s v="Maxell DVD-RAM Discs"/>
    <n v="115.36"/>
    <n v="7"/>
    <n v="0"/>
    <n v="49.604800000000012"/>
  </r>
  <r>
    <n v="851"/>
    <s v="CA-2018-152534"/>
    <x v="23"/>
    <x v="0"/>
    <x v="317"/>
    <s v="Salinas"/>
    <x v="1"/>
    <x v="1"/>
    <x v="1"/>
    <x v="6"/>
    <s v="DIXON Oriole Pencils"/>
    <n v="5.16"/>
    <n v="2"/>
    <n v="0"/>
    <n v="1.3416000000000001"/>
  </r>
  <r>
    <n v="852"/>
    <s v="CA-2018-152534"/>
    <x v="23"/>
    <x v="0"/>
    <x v="317"/>
    <s v="Salinas"/>
    <x v="1"/>
    <x v="1"/>
    <x v="1"/>
    <x v="10"/>
    <s v="Xerox 202"/>
    <n v="38.880000000000003"/>
    <n v="6"/>
    <n v="0"/>
    <n v="18.662400000000002"/>
  </r>
  <r>
    <n v="853"/>
    <s v="CA-2018-113747"/>
    <x v="316"/>
    <x v="1"/>
    <x v="104"/>
    <s v="Jackson"/>
    <x v="35"/>
    <x v="0"/>
    <x v="1"/>
    <x v="6"/>
    <s v="Boston School Pro Electric Pencil Sharpener, 1670"/>
    <n v="185.88"/>
    <n v="6"/>
    <n v="0"/>
    <n v="50.187599999999996"/>
  </r>
  <r>
    <n v="854"/>
    <s v="CA-2018-123274"/>
    <x v="317"/>
    <x v="1"/>
    <x v="218"/>
    <s v="New York City"/>
    <x v="15"/>
    <x v="3"/>
    <x v="0"/>
    <x v="5"/>
    <s v="Executive Impressions 14&quot; Contract Wall Clock"/>
    <n v="44.46"/>
    <n v="2"/>
    <n v="0"/>
    <n v="14.671799999999998"/>
  </r>
  <r>
    <n v="855"/>
    <s v="CA-2018-123274"/>
    <x v="317"/>
    <x v="1"/>
    <x v="218"/>
    <s v="New York City"/>
    <x v="15"/>
    <x v="3"/>
    <x v="1"/>
    <x v="4"/>
    <s v="Carina Double Wide Media Storage Towers in Natural &amp; Black"/>
    <n v="242.94"/>
    <n v="3"/>
    <n v="0"/>
    <n v="9.7175999999999902"/>
  </r>
  <r>
    <n v="856"/>
    <s v="CA-2016-125612"/>
    <x v="93"/>
    <x v="1"/>
    <x v="318"/>
    <s v="New York City"/>
    <x v="15"/>
    <x v="3"/>
    <x v="1"/>
    <x v="10"/>
    <s v="Xerox 1884"/>
    <n v="39.96"/>
    <n v="2"/>
    <n v="0"/>
    <n v="18.781199999999998"/>
  </r>
  <r>
    <n v="857"/>
    <s v="CA-2016-125612"/>
    <x v="93"/>
    <x v="1"/>
    <x v="318"/>
    <s v="New York City"/>
    <x v="15"/>
    <x v="3"/>
    <x v="1"/>
    <x v="14"/>
    <s v="Acme Box Cutter Scissors"/>
    <n v="102.30000000000001"/>
    <n v="10"/>
    <n v="0"/>
    <n v="26.598000000000006"/>
  </r>
  <r>
    <n v="858"/>
    <s v="CA-2016-125612"/>
    <x v="93"/>
    <x v="1"/>
    <x v="318"/>
    <s v="New York City"/>
    <x v="15"/>
    <x v="3"/>
    <x v="1"/>
    <x v="4"/>
    <s v="Staple magnet"/>
    <n v="21.36"/>
    <n v="2"/>
    <n v="0"/>
    <n v="5.7672000000000008"/>
  </r>
  <r>
    <n v="859"/>
    <s v="CA-2019-161984"/>
    <x v="318"/>
    <x v="1"/>
    <x v="319"/>
    <s v="New Brunswick"/>
    <x v="30"/>
    <x v="3"/>
    <x v="1"/>
    <x v="10"/>
    <s v="Wirebound Message Books, Two 4 1/4&quot; x 5&quot; Forms per Page"/>
    <n v="7.61"/>
    <n v="1"/>
    <n v="0"/>
    <n v="3.5766999999999998"/>
  </r>
  <r>
    <n v="860"/>
    <s v="CA-2019-161984"/>
    <x v="318"/>
    <x v="1"/>
    <x v="319"/>
    <s v="New Brunswick"/>
    <x v="30"/>
    <x v="3"/>
    <x v="1"/>
    <x v="13"/>
    <s v="OIC Binder Clips"/>
    <n v="7.16"/>
    <n v="2"/>
    <n v="0"/>
    <n v="3.58"/>
  </r>
  <r>
    <n v="861"/>
    <s v="CA-2016-133851"/>
    <x v="3"/>
    <x v="1"/>
    <x v="320"/>
    <s v="San Francisco"/>
    <x v="1"/>
    <x v="1"/>
    <x v="1"/>
    <x v="14"/>
    <s v="Staple remover"/>
    <n v="7.36"/>
    <n v="2"/>
    <n v="0"/>
    <n v="0.14719999999999978"/>
  </r>
  <r>
    <n v="862"/>
    <s v="CA-2016-133851"/>
    <x v="3"/>
    <x v="1"/>
    <x v="320"/>
    <s v="San Francisco"/>
    <x v="1"/>
    <x v="1"/>
    <x v="1"/>
    <x v="6"/>
    <s v="Deluxe Chalkboard Eraser Cleaner"/>
    <n v="23.1"/>
    <n v="2"/>
    <n v="0"/>
    <n v="10.625999999999999"/>
  </r>
  <r>
    <n v="863"/>
    <s v="CA-2018-134474"/>
    <x v="319"/>
    <x v="0"/>
    <x v="295"/>
    <s v="Jacksonville"/>
    <x v="2"/>
    <x v="0"/>
    <x v="2"/>
    <x v="11"/>
    <s v="Logitech MX Performance Wireless Mouse"/>
    <n v="191.47200000000001"/>
    <n v="6"/>
    <n v="0.2"/>
    <n v="40.687800000000003"/>
  </r>
  <r>
    <n v="864"/>
    <s v="CA-2018-134474"/>
    <x v="319"/>
    <x v="0"/>
    <x v="295"/>
    <s v="Jacksonville"/>
    <x v="2"/>
    <x v="0"/>
    <x v="1"/>
    <x v="6"/>
    <s v="Newell 337"/>
    <n v="5.2480000000000002"/>
    <n v="2"/>
    <n v="0.2"/>
    <n v="0.59039999999999915"/>
  </r>
  <r>
    <n v="865"/>
    <s v="CA-2018-134474"/>
    <x v="319"/>
    <x v="0"/>
    <x v="295"/>
    <s v="Jacksonville"/>
    <x v="2"/>
    <x v="0"/>
    <x v="2"/>
    <x v="7"/>
    <s v="Logitech B530 USB Headset - headset - Full size, Binaural"/>
    <n v="59.184000000000005"/>
    <n v="2"/>
    <n v="0.2"/>
    <n v="5.1786000000000012"/>
  </r>
  <r>
    <n v="866"/>
    <s v="CA-2016-149020"/>
    <x v="320"/>
    <x v="1"/>
    <x v="321"/>
    <s v="Springfield"/>
    <x v="17"/>
    <x v="0"/>
    <x v="1"/>
    <x v="2"/>
    <s v="Avery 482"/>
    <n v="2.89"/>
    <n v="1"/>
    <n v="0"/>
    <n v="1.3583000000000001"/>
  </r>
  <r>
    <n v="867"/>
    <s v="CA-2016-149020"/>
    <x v="320"/>
    <x v="1"/>
    <x v="321"/>
    <s v="Springfield"/>
    <x v="17"/>
    <x v="0"/>
    <x v="0"/>
    <x v="5"/>
    <s v="Howard Miller 11-1/2&quot; Diameter Ridgewood Wall Clock"/>
    <n v="51.94"/>
    <n v="1"/>
    <n v="0"/>
    <n v="21.295400000000001"/>
  </r>
  <r>
    <n v="868"/>
    <s v="CA-2018-134362"/>
    <x v="321"/>
    <x v="2"/>
    <x v="322"/>
    <s v="Philadelphia"/>
    <x v="9"/>
    <x v="3"/>
    <x v="1"/>
    <x v="2"/>
    <s v="Avery 483"/>
    <n v="15.936000000000002"/>
    <n v="4"/>
    <n v="0.2"/>
    <n v="5.1791999999999998"/>
  </r>
  <r>
    <n v="869"/>
    <s v="CA-2016-136742"/>
    <x v="322"/>
    <x v="1"/>
    <x v="323"/>
    <s v="Lancaster"/>
    <x v="9"/>
    <x v="3"/>
    <x v="1"/>
    <x v="8"/>
    <s v="Large Capacity Hanging Post Binders"/>
    <n v="44.910000000000011"/>
    <n v="6"/>
    <n v="0.7"/>
    <n v="-35.927999999999997"/>
  </r>
  <r>
    <n v="870"/>
    <s v="CA-2018-158099"/>
    <x v="323"/>
    <x v="2"/>
    <x v="324"/>
    <s v="Philadelphia"/>
    <x v="9"/>
    <x v="3"/>
    <x v="1"/>
    <x v="8"/>
    <s v="GBC Ibimaster 500 Manual ProClick Binding System"/>
    <n v="1141.4700000000003"/>
    <n v="5"/>
    <n v="0.7"/>
    <n v="-760.98000000000025"/>
  </r>
  <r>
    <n v="871"/>
    <s v="CA-2018-158099"/>
    <x v="323"/>
    <x v="2"/>
    <x v="324"/>
    <s v="Philadelphia"/>
    <x v="9"/>
    <x v="3"/>
    <x v="2"/>
    <x v="7"/>
    <s v="Cisco SPA301"/>
    <n v="280.78200000000004"/>
    <n v="3"/>
    <n v="0.4"/>
    <n v="-46.797000000000025"/>
  </r>
  <r>
    <n v="872"/>
    <s v="CA-2017-131128"/>
    <x v="324"/>
    <x v="2"/>
    <x v="14"/>
    <s v="Concord"/>
    <x v="38"/>
    <x v="3"/>
    <x v="1"/>
    <x v="10"/>
    <s v="Southworth 100% Cotton The Best Paper"/>
    <n v="34.44"/>
    <n v="3"/>
    <n v="0"/>
    <n v="17.22"/>
  </r>
  <r>
    <n v="873"/>
    <s v="CA-2016-148488"/>
    <x v="325"/>
    <x v="1"/>
    <x v="325"/>
    <s v="New York City"/>
    <x v="15"/>
    <x v="3"/>
    <x v="1"/>
    <x v="10"/>
    <s v="Adams Write n' Stick Phone Message Book, 11&quot; X 5 1/4&quot;, 200 Messages"/>
    <n v="11.36"/>
    <n v="2"/>
    <n v="0"/>
    <n v="5.2255999999999991"/>
  </r>
  <r>
    <n v="874"/>
    <s v="CA-2016-148488"/>
    <x v="325"/>
    <x v="1"/>
    <x v="325"/>
    <s v="New York City"/>
    <x v="15"/>
    <x v="3"/>
    <x v="1"/>
    <x v="8"/>
    <s v="Poly Designer Cover &amp; Back"/>
    <n v="106.34399999999999"/>
    <n v="7"/>
    <n v="0.2"/>
    <n v="37.220399999999998"/>
  </r>
  <r>
    <n v="875"/>
    <s v="CA-2019-114636"/>
    <x v="326"/>
    <x v="1"/>
    <x v="315"/>
    <s v="Charlotte"/>
    <x v="3"/>
    <x v="0"/>
    <x v="1"/>
    <x v="10"/>
    <s v="Xerox 1910"/>
    <n v="192.16000000000003"/>
    <n v="5"/>
    <n v="0.2"/>
    <n v="67.255999999999986"/>
  </r>
  <r>
    <n v="876"/>
    <s v="CA-2018-116736"/>
    <x v="327"/>
    <x v="1"/>
    <x v="254"/>
    <s v="Concord"/>
    <x v="38"/>
    <x v="3"/>
    <x v="0"/>
    <x v="5"/>
    <s v="Tenex Contemporary Contur Chairmats for Low and Medium Pile Carpet, Computer, 39&quot; x 49&quot;"/>
    <n v="322.59000000000003"/>
    <n v="3"/>
    <n v="0"/>
    <n v="64.518000000000001"/>
  </r>
  <r>
    <n v="877"/>
    <s v="CA-2018-116736"/>
    <x v="327"/>
    <x v="1"/>
    <x v="254"/>
    <s v="Concord"/>
    <x v="38"/>
    <x v="3"/>
    <x v="2"/>
    <x v="11"/>
    <s v="Logitech 910-002974 M325 Wireless Mouse for Web Scrolling"/>
    <n v="29.99"/>
    <n v="1"/>
    <n v="0"/>
    <n v="13.195600000000002"/>
  </r>
  <r>
    <n v="878"/>
    <s v="CA-2018-116736"/>
    <x v="327"/>
    <x v="1"/>
    <x v="254"/>
    <s v="Concord"/>
    <x v="38"/>
    <x v="3"/>
    <x v="2"/>
    <x v="11"/>
    <s v="Logitech G19 Programmable Gaming Keyboard"/>
    <n v="371.96999999999997"/>
    <n v="3"/>
    <n v="0"/>
    <n v="66.954599999999971"/>
  </r>
  <r>
    <n v="879"/>
    <s v="US-2016-158638"/>
    <x v="328"/>
    <x v="1"/>
    <x v="326"/>
    <s v="Philadelphia"/>
    <x v="9"/>
    <x v="3"/>
    <x v="1"/>
    <x v="8"/>
    <s v="Acco Pressboard Covers with Storage Hooks, 14 7/8&quot; x 11&quot;, Light Blue"/>
    <n v="5.8920000000000012"/>
    <n v="4"/>
    <n v="0.7"/>
    <n v="-4.1243999999999996"/>
  </r>
  <r>
    <n v="880"/>
    <s v="CA-2019-111689"/>
    <x v="329"/>
    <x v="0"/>
    <x v="6"/>
    <s v="New York City"/>
    <x v="15"/>
    <x v="3"/>
    <x v="1"/>
    <x v="8"/>
    <s v="Lock-Up Easel 'Spel-Binder'"/>
    <n v="68.472000000000008"/>
    <n v="3"/>
    <n v="0.2"/>
    <n v="23.109299999999998"/>
  </r>
  <r>
    <n v="881"/>
    <s v="CA-2019-111689"/>
    <x v="329"/>
    <x v="0"/>
    <x v="6"/>
    <s v="New York City"/>
    <x v="15"/>
    <x v="3"/>
    <x v="0"/>
    <x v="1"/>
    <s v="SAFCO Arco Folding Chair"/>
    <n v="1242.8999999999999"/>
    <n v="5"/>
    <n v="0.1"/>
    <n v="262.38999999999987"/>
  </r>
  <r>
    <n v="882"/>
    <s v="CA-2017-129098"/>
    <x v="330"/>
    <x v="1"/>
    <x v="54"/>
    <s v="Springfield"/>
    <x v="17"/>
    <x v="0"/>
    <x v="1"/>
    <x v="4"/>
    <s v="Decoflex Hanging Personal Folder File, Blue"/>
    <n v="30.84"/>
    <n v="2"/>
    <n v="0"/>
    <n v="8.3268000000000022"/>
  </r>
  <r>
    <n v="883"/>
    <s v="US-2019-123463"/>
    <x v="331"/>
    <x v="3"/>
    <x v="47"/>
    <s v="San Francisco"/>
    <x v="1"/>
    <x v="1"/>
    <x v="1"/>
    <x v="6"/>
    <s v="Binney &amp; Smith Crayola Metallic Crayons, 16-Color Pack"/>
    <n v="13.48"/>
    <n v="4"/>
    <n v="0"/>
    <n v="5.9312000000000014"/>
  </r>
  <r>
    <n v="884"/>
    <s v="CA-2018-165148"/>
    <x v="332"/>
    <x v="2"/>
    <x v="327"/>
    <s v="Detroit"/>
    <x v="12"/>
    <x v="2"/>
    <x v="0"/>
    <x v="5"/>
    <s v="Eldon 200 Class Desk Accessories"/>
    <n v="31.400000000000002"/>
    <n v="5"/>
    <n v="0"/>
    <n v="10.047999999999998"/>
  </r>
  <r>
    <n v="885"/>
    <s v="CA-2016-134061"/>
    <x v="333"/>
    <x v="1"/>
    <x v="328"/>
    <s v="Rochester"/>
    <x v="15"/>
    <x v="3"/>
    <x v="0"/>
    <x v="5"/>
    <s v="Dax Clear Box Frame"/>
    <n v="17.46"/>
    <n v="2"/>
    <n v="0"/>
    <n v="5.936399999999999"/>
  </r>
  <r>
    <n v="886"/>
    <s v="CA-2017-143602"/>
    <x v="334"/>
    <x v="0"/>
    <x v="329"/>
    <s v="Los Angeles"/>
    <x v="1"/>
    <x v="1"/>
    <x v="1"/>
    <x v="8"/>
    <s v="Fellowes Black Plastic Comb Bindings"/>
    <n v="13.943999999999999"/>
    <n v="3"/>
    <n v="0.2"/>
    <n v="4.5317999999999996"/>
  </r>
  <r>
    <n v="887"/>
    <s v="CA-2019-115364"/>
    <x v="335"/>
    <x v="1"/>
    <x v="220"/>
    <s v="San Diego"/>
    <x v="1"/>
    <x v="1"/>
    <x v="1"/>
    <x v="4"/>
    <s v="Eldon Shelf Savers Cubes and Bins"/>
    <n v="83.76"/>
    <n v="12"/>
    <n v="0"/>
    <n v="1.6751999999999967"/>
  </r>
  <r>
    <n v="888"/>
    <s v="CA-2019-150707"/>
    <x v="336"/>
    <x v="1"/>
    <x v="330"/>
    <s v="Columbia"/>
    <x v="39"/>
    <x v="3"/>
    <x v="1"/>
    <x v="8"/>
    <s v="Acco PRESSTEX Data Binder with Storage Hooks, Dark Blue, 14 7/8&quot; X 11&quot;"/>
    <n v="37.659999999999997"/>
    <n v="7"/>
    <n v="0"/>
    <n v="18.453400000000002"/>
  </r>
  <r>
    <n v="889"/>
    <s v="CA-2016-104976"/>
    <x v="337"/>
    <x v="1"/>
    <x v="316"/>
    <s v="San Francisco"/>
    <x v="1"/>
    <x v="1"/>
    <x v="1"/>
    <x v="10"/>
    <s v="Xerox 1987"/>
    <n v="34.68"/>
    <n v="6"/>
    <n v="0"/>
    <n v="16.993200000000002"/>
  </r>
  <r>
    <n v="890"/>
    <s v="CA-2019-132934"/>
    <x v="308"/>
    <x v="1"/>
    <x v="188"/>
    <s v="New Rochelle"/>
    <x v="15"/>
    <x v="3"/>
    <x v="2"/>
    <x v="11"/>
    <s v="Anker Ultrathin Bluetooth Wireless Keyboard Aluminum Cover with Stand"/>
    <n v="149.94999999999999"/>
    <n v="5"/>
    <n v="0"/>
    <n v="14.994999999999994"/>
  </r>
  <r>
    <n v="891"/>
    <s v="CA-2019-132934"/>
    <x v="308"/>
    <x v="1"/>
    <x v="188"/>
    <s v="New Rochelle"/>
    <x v="15"/>
    <x v="3"/>
    <x v="1"/>
    <x v="8"/>
    <s v="Acco D-Ring Binder w/DublLock"/>
    <n v="51.311999999999998"/>
    <n v="3"/>
    <n v="0.2"/>
    <n v="18.600599999999996"/>
  </r>
  <r>
    <n v="892"/>
    <s v="CA-2019-133256"/>
    <x v="335"/>
    <x v="2"/>
    <x v="274"/>
    <s v="Detroit"/>
    <x v="12"/>
    <x v="2"/>
    <x v="1"/>
    <x v="10"/>
    <s v="Ampad Poly Cover Wirebound Steno Book, 6&quot; x 9&quot; Assorted Colors, Gregg Ruled"/>
    <n v="4.54"/>
    <n v="1"/>
    <n v="0"/>
    <n v="2.0429999999999997"/>
  </r>
  <r>
    <n v="893"/>
    <s v="CA-2019-133256"/>
    <x v="335"/>
    <x v="2"/>
    <x v="274"/>
    <s v="Detroit"/>
    <x v="12"/>
    <x v="2"/>
    <x v="1"/>
    <x v="6"/>
    <s v="Fluorescent Highlighters by Dixon"/>
    <n v="15.92"/>
    <n v="4"/>
    <n v="0"/>
    <n v="5.4127999999999989"/>
  </r>
  <r>
    <n v="894"/>
    <s v="CA-2019-133256"/>
    <x v="335"/>
    <x v="2"/>
    <x v="274"/>
    <s v="Detroit"/>
    <x v="12"/>
    <x v="2"/>
    <x v="2"/>
    <x v="7"/>
    <s v="Nortel Networks T7316 E Nt8 B27"/>
    <n v="543.91999999999996"/>
    <n v="8"/>
    <n v="0"/>
    <n v="135.98000000000002"/>
  </r>
  <r>
    <n v="895"/>
    <s v="CA-2018-105494"/>
    <x v="338"/>
    <x v="2"/>
    <x v="331"/>
    <s v="San Francisco"/>
    <x v="1"/>
    <x v="1"/>
    <x v="1"/>
    <x v="4"/>
    <s v="File Shuttle I and Handi-File"/>
    <n v="155.82000000000002"/>
    <n v="7"/>
    <n v="0"/>
    <n v="42.071400000000011"/>
  </r>
  <r>
    <n v="896"/>
    <s v="CA-2018-105494"/>
    <x v="338"/>
    <x v="2"/>
    <x v="331"/>
    <s v="San Francisco"/>
    <x v="1"/>
    <x v="1"/>
    <x v="1"/>
    <x v="8"/>
    <s v="Binding Machine Supplies"/>
    <n v="70.00800000000001"/>
    <n v="3"/>
    <n v="0.2"/>
    <n v="24.502800000000001"/>
  </r>
  <r>
    <n v="897"/>
    <s v="CA-2018-140634"/>
    <x v="339"/>
    <x v="0"/>
    <x v="332"/>
    <s v="Houston"/>
    <x v="5"/>
    <x v="2"/>
    <x v="1"/>
    <x v="12"/>
    <s v="Staple envelope"/>
    <n v="15.648"/>
    <n v="2"/>
    <n v="0.2"/>
    <n v="5.0855999999999986"/>
  </r>
  <r>
    <n v="898"/>
    <s v="CA-2016-144407"/>
    <x v="340"/>
    <x v="1"/>
    <x v="333"/>
    <s v="Detroit"/>
    <x v="12"/>
    <x v="2"/>
    <x v="1"/>
    <x v="2"/>
    <s v="Alphabetical Labels for Top Tab Filing"/>
    <n v="103.60000000000001"/>
    <n v="7"/>
    <n v="0"/>
    <n v="51.800000000000004"/>
  </r>
  <r>
    <n v="899"/>
    <s v="CA-2019-160983"/>
    <x v="341"/>
    <x v="0"/>
    <x v="334"/>
    <s v="Auburn"/>
    <x v="15"/>
    <x v="3"/>
    <x v="1"/>
    <x v="10"/>
    <s v="Things To Do Today Pad"/>
    <n v="46.96"/>
    <n v="8"/>
    <n v="0"/>
    <n v="22.540800000000001"/>
  </r>
  <r>
    <n v="900"/>
    <s v="US-2018-114622"/>
    <x v="342"/>
    <x v="2"/>
    <x v="335"/>
    <s v="Springfield"/>
    <x v="24"/>
    <x v="3"/>
    <x v="1"/>
    <x v="8"/>
    <s v="Wilson Jones Hanging Recycled Pressboard Data Binders"/>
    <n v="8.9040000000000017"/>
    <n v="2"/>
    <n v="0.7"/>
    <n v="-6.5296000000000003"/>
  </r>
  <r>
    <n v="901"/>
    <s v="CA-2019-150959"/>
    <x v="343"/>
    <x v="2"/>
    <x v="143"/>
    <s v="Garland"/>
    <x v="5"/>
    <x v="2"/>
    <x v="1"/>
    <x v="2"/>
    <s v="Permanent Self-Adhesive File Folder Labels for Typewriters by Universal"/>
    <n v="10.440000000000001"/>
    <n v="5"/>
    <n v="0.2"/>
    <n v="3.3929999999999989"/>
  </r>
  <r>
    <n v="902"/>
    <s v="CA-2019-150959"/>
    <x v="343"/>
    <x v="2"/>
    <x v="143"/>
    <s v="Garland"/>
    <x v="5"/>
    <x v="2"/>
    <x v="1"/>
    <x v="8"/>
    <s v="Deluxe Heavy-Duty Vinyl Round Ring Binder"/>
    <n v="18.335999999999999"/>
    <n v="4"/>
    <n v="0.8"/>
    <n v="-32.088000000000008"/>
  </r>
  <r>
    <n v="903"/>
    <s v="CA-2019-132353"/>
    <x v="175"/>
    <x v="2"/>
    <x v="72"/>
    <s v="Chicago"/>
    <x v="10"/>
    <x v="2"/>
    <x v="2"/>
    <x v="7"/>
    <s v="Avaya 5420 Digital phone"/>
    <n v="323.97600000000006"/>
    <n v="3"/>
    <n v="0.2"/>
    <n v="20.248499999999993"/>
  </r>
  <r>
    <n v="904"/>
    <s v="CA-2018-130477"/>
    <x v="143"/>
    <x v="1"/>
    <x v="95"/>
    <s v="Los Angeles"/>
    <x v="1"/>
    <x v="1"/>
    <x v="1"/>
    <x v="10"/>
    <s v="Xerox 1923"/>
    <n v="20.04"/>
    <n v="3"/>
    <n v="0"/>
    <n v="9.6191999999999993"/>
  </r>
  <r>
    <n v="905"/>
    <s v="CA-2018-130477"/>
    <x v="143"/>
    <x v="1"/>
    <x v="95"/>
    <s v="Los Angeles"/>
    <x v="1"/>
    <x v="1"/>
    <x v="1"/>
    <x v="4"/>
    <s v="Fellowes Neat Ideas Storage Cubes"/>
    <n v="64.959999999999994"/>
    <n v="2"/>
    <n v="0"/>
    <n v="2.598399999999998"/>
  </r>
  <r>
    <n v="906"/>
    <s v="CA-2018-130477"/>
    <x v="143"/>
    <x v="1"/>
    <x v="95"/>
    <s v="Los Angeles"/>
    <x v="1"/>
    <x v="1"/>
    <x v="1"/>
    <x v="10"/>
    <s v="Xerox 1931"/>
    <n v="12.96"/>
    <n v="2"/>
    <n v="0"/>
    <n v="6.2208000000000006"/>
  </r>
  <r>
    <n v="907"/>
    <s v="CA-2019-143259"/>
    <x v="247"/>
    <x v="1"/>
    <x v="22"/>
    <s v="New York City"/>
    <x v="15"/>
    <x v="3"/>
    <x v="0"/>
    <x v="0"/>
    <s v="Bush Westfield Collection Bookcases, Fully Assembled"/>
    <n v="323.13600000000002"/>
    <n v="4"/>
    <n v="0.2"/>
    <n v="12.117599999999968"/>
  </r>
  <r>
    <n v="908"/>
    <s v="CA-2019-143259"/>
    <x v="247"/>
    <x v="1"/>
    <x v="22"/>
    <s v="New York City"/>
    <x v="15"/>
    <x v="3"/>
    <x v="2"/>
    <x v="7"/>
    <s v="Gear Head AU3700S Headset"/>
    <n v="90.93"/>
    <n v="7"/>
    <n v="0"/>
    <n v="2.7278999999999964"/>
  </r>
  <r>
    <n v="909"/>
    <s v="CA-2019-143259"/>
    <x v="247"/>
    <x v="1"/>
    <x v="22"/>
    <s v="New York City"/>
    <x v="15"/>
    <x v="3"/>
    <x v="1"/>
    <x v="8"/>
    <s v="Wilson Jones Legal Size Ring Binders"/>
    <n v="52.775999999999996"/>
    <n v="3"/>
    <n v="0.2"/>
    <n v="19.791"/>
  </r>
  <r>
    <n v="910"/>
    <s v="CA-2019-137596"/>
    <x v="264"/>
    <x v="1"/>
    <x v="336"/>
    <s v="Jackson"/>
    <x v="12"/>
    <x v="2"/>
    <x v="2"/>
    <x v="7"/>
    <s v="Polycom CX600 IP Phone VoIP phone"/>
    <n v="1199.8"/>
    <n v="4"/>
    <n v="0"/>
    <n v="323.94600000000003"/>
  </r>
  <r>
    <n v="911"/>
    <s v="CA-2019-137596"/>
    <x v="264"/>
    <x v="1"/>
    <x v="336"/>
    <s v="Jackson"/>
    <x v="12"/>
    <x v="2"/>
    <x v="2"/>
    <x v="11"/>
    <s v="Maxell iVDR EX 500GB Cartridge"/>
    <n v="1928.7800000000002"/>
    <n v="7"/>
    <n v="0"/>
    <n v="829.37540000000024"/>
  </r>
  <r>
    <n v="912"/>
    <s v="CA-2019-137596"/>
    <x v="264"/>
    <x v="1"/>
    <x v="336"/>
    <s v="Jackson"/>
    <x v="12"/>
    <x v="2"/>
    <x v="1"/>
    <x v="4"/>
    <s v="Fellowes High-Stak Drawer Files"/>
    <n v="352.38"/>
    <n v="2"/>
    <n v="0"/>
    <n v="81.047399999999982"/>
  </r>
  <r>
    <n v="913"/>
    <s v="CA-2017-133627"/>
    <x v="70"/>
    <x v="1"/>
    <x v="337"/>
    <s v="Norwich"/>
    <x v="29"/>
    <x v="3"/>
    <x v="0"/>
    <x v="5"/>
    <s v="3M Hangers With Command Adhesive"/>
    <n v="22.200000000000003"/>
    <n v="6"/>
    <n v="0"/>
    <n v="9.1020000000000021"/>
  </r>
  <r>
    <n v="914"/>
    <s v="CA-2019-102519"/>
    <x v="344"/>
    <x v="2"/>
    <x v="312"/>
    <s v="Milwaukee"/>
    <x v="6"/>
    <x v="2"/>
    <x v="0"/>
    <x v="5"/>
    <s v="Howard Miller 13&quot; Diameter Goldtone Round Wall Clock"/>
    <n v="46.94"/>
    <n v="1"/>
    <n v="0"/>
    <n v="19.2454"/>
  </r>
  <r>
    <n v="915"/>
    <s v="CA-2019-102519"/>
    <x v="344"/>
    <x v="2"/>
    <x v="312"/>
    <s v="Milwaukee"/>
    <x v="6"/>
    <x v="2"/>
    <x v="2"/>
    <x v="11"/>
    <s v="Memorex Mini Travel Drive 16 GB USB 2.0 Flash Drive"/>
    <n v="143.73000000000002"/>
    <n v="9"/>
    <n v="0"/>
    <n v="56.054700000000011"/>
  </r>
  <r>
    <n v="916"/>
    <s v="US-2016-141215"/>
    <x v="345"/>
    <x v="1"/>
    <x v="126"/>
    <s v="San Antonio"/>
    <x v="5"/>
    <x v="2"/>
    <x v="0"/>
    <x v="3"/>
    <s v="Lesro Sheffield Collection Coffee Table, End Table, Center Table, Corner Table"/>
    <n v="99.918000000000006"/>
    <n v="2"/>
    <n v="0.3"/>
    <n v="-18.556200000000018"/>
  </r>
  <r>
    <n v="917"/>
    <s v="US-2016-141215"/>
    <x v="345"/>
    <x v="1"/>
    <x v="126"/>
    <s v="San Antonio"/>
    <x v="5"/>
    <x v="2"/>
    <x v="0"/>
    <x v="1"/>
    <s v="Global Commerce Series High-Back Swivel/Tilt Chairs"/>
    <n v="797.94399999999996"/>
    <n v="4"/>
    <n v="0.3"/>
    <n v="-56.995999999999981"/>
  </r>
  <r>
    <n v="918"/>
    <s v="US-2016-141215"/>
    <x v="345"/>
    <x v="1"/>
    <x v="126"/>
    <s v="San Antonio"/>
    <x v="5"/>
    <x v="2"/>
    <x v="1"/>
    <x v="8"/>
    <s v="Avery Premier Heavy-Duty Binder with Round Locking Rings"/>
    <n v="8.5679999999999978"/>
    <n v="3"/>
    <n v="0.8"/>
    <n v="-14.5656"/>
  </r>
  <r>
    <n v="919"/>
    <s v="CA-2018-165218"/>
    <x v="346"/>
    <x v="1"/>
    <x v="338"/>
    <s v="Dallas"/>
    <x v="5"/>
    <x v="2"/>
    <x v="1"/>
    <x v="12"/>
    <s v="Cameo Buff Policy Envelopes"/>
    <n v="149.352"/>
    <n v="3"/>
    <n v="0.2"/>
    <n v="50.40629999999998"/>
  </r>
  <r>
    <n v="920"/>
    <s v="CA-2018-165218"/>
    <x v="346"/>
    <x v="1"/>
    <x v="338"/>
    <s v="Dallas"/>
    <x v="5"/>
    <x v="2"/>
    <x v="1"/>
    <x v="4"/>
    <s v="Acco Perma 4000 Stacking Storage Drawers"/>
    <n v="12.991999999999999"/>
    <n v="1"/>
    <n v="0.2"/>
    <n v="-0.81199999999999983"/>
  </r>
  <r>
    <n v="921"/>
    <s v="CA-2016-138296"/>
    <x v="29"/>
    <x v="1"/>
    <x v="116"/>
    <s v="Alexandria"/>
    <x v="17"/>
    <x v="0"/>
    <x v="1"/>
    <x v="4"/>
    <s v="Recycled Eldon Regeneration Jumbo File"/>
    <n v="24.56"/>
    <n v="2"/>
    <n v="0"/>
    <n v="6.8767999999999994"/>
  </r>
  <r>
    <n v="922"/>
    <s v="CA-2017-111164"/>
    <x v="347"/>
    <x v="1"/>
    <x v="339"/>
    <s v="New York City"/>
    <x v="15"/>
    <x v="3"/>
    <x v="2"/>
    <x v="11"/>
    <s v="Maxell 4.7GB DVD-R"/>
    <n v="85.14"/>
    <n v="3"/>
    <n v="0"/>
    <n v="34.907399999999996"/>
  </r>
  <r>
    <n v="923"/>
    <s v="CA-2017-111164"/>
    <x v="347"/>
    <x v="1"/>
    <x v="339"/>
    <s v="New York City"/>
    <x v="15"/>
    <x v="3"/>
    <x v="2"/>
    <x v="7"/>
    <s v="OtterBox Commuter Series Case - iPhone 5 &amp; 5s"/>
    <n v="21.99"/>
    <n v="1"/>
    <n v="0"/>
    <n v="10.555199999999999"/>
  </r>
  <r>
    <n v="924"/>
    <s v="CA-2017-111164"/>
    <x v="347"/>
    <x v="1"/>
    <x v="339"/>
    <s v="New York City"/>
    <x v="15"/>
    <x v="3"/>
    <x v="1"/>
    <x v="9"/>
    <s v="Kensington 4 Outlet MasterPiece Compact Power Control Center"/>
    <n v="406.59999999999997"/>
    <n v="5"/>
    <n v="0"/>
    <n v="113.84799999999998"/>
  </r>
  <r>
    <n v="925"/>
    <s v="CA-2018-149797"/>
    <x v="306"/>
    <x v="1"/>
    <x v="340"/>
    <s v="New York City"/>
    <x v="15"/>
    <x v="3"/>
    <x v="1"/>
    <x v="8"/>
    <s v="GBC DocuBind 300 Electric Binding Machine"/>
    <n v="841.5680000000001"/>
    <n v="2"/>
    <n v="0.2"/>
    <n v="294.54879999999991"/>
  </r>
  <r>
    <n v="926"/>
    <s v="CA-2016-132962"/>
    <x v="103"/>
    <x v="2"/>
    <x v="341"/>
    <s v="Philadelphia"/>
    <x v="9"/>
    <x v="3"/>
    <x v="1"/>
    <x v="10"/>
    <s v="Xerox 1985"/>
    <n v="15.552000000000003"/>
    <n v="3"/>
    <n v="0.2"/>
    <n v="5.4432"/>
  </r>
  <r>
    <n v="927"/>
    <s v="CA-2016-132962"/>
    <x v="103"/>
    <x v="2"/>
    <x v="341"/>
    <s v="Philadelphia"/>
    <x v="9"/>
    <x v="3"/>
    <x v="2"/>
    <x v="11"/>
    <s v="Hypercom P1300 Pinpad"/>
    <n v="252.00000000000003"/>
    <n v="5"/>
    <n v="0.2"/>
    <n v="53.550000000000004"/>
  </r>
  <r>
    <n v="928"/>
    <s v="CA-2017-115091"/>
    <x v="348"/>
    <x v="1"/>
    <x v="342"/>
    <s v="Springfield"/>
    <x v="17"/>
    <x v="0"/>
    <x v="1"/>
    <x v="6"/>
    <s v="Newell 324"/>
    <n v="46.2"/>
    <n v="4"/>
    <n v="0"/>
    <n v="12.936"/>
  </r>
  <r>
    <n v="929"/>
    <s v="CA-2017-115091"/>
    <x v="348"/>
    <x v="1"/>
    <x v="342"/>
    <s v="Springfield"/>
    <x v="17"/>
    <x v="0"/>
    <x v="1"/>
    <x v="9"/>
    <s v="Holmes Odor Grabber"/>
    <n v="28.84"/>
    <n v="2"/>
    <n v="0"/>
    <n v="9.517199999999999"/>
  </r>
  <r>
    <n v="930"/>
    <s v="CA-2019-144932"/>
    <x v="349"/>
    <x v="2"/>
    <x v="269"/>
    <s v="Toledo"/>
    <x v="24"/>
    <x v="3"/>
    <x v="1"/>
    <x v="6"/>
    <s v="Zebra Zazzle Fluorescent Highlighters"/>
    <n v="14.592000000000002"/>
    <n v="3"/>
    <n v="0.2"/>
    <n v="2.5535999999999985"/>
  </r>
  <r>
    <n v="931"/>
    <s v="CA-2019-144932"/>
    <x v="349"/>
    <x v="2"/>
    <x v="269"/>
    <s v="Toledo"/>
    <x v="24"/>
    <x v="3"/>
    <x v="1"/>
    <x v="6"/>
    <s v="Sanford Prismacolor Professional Thick Lead Art Pencils, 36-Color Set"/>
    <n v="89.855999999999995"/>
    <n v="3"/>
    <n v="0.2"/>
    <n v="21.340800000000002"/>
  </r>
  <r>
    <n v="932"/>
    <s v="CA-2019-144932"/>
    <x v="349"/>
    <x v="2"/>
    <x v="269"/>
    <s v="Toledo"/>
    <x v="24"/>
    <x v="3"/>
    <x v="1"/>
    <x v="10"/>
    <s v="Xerox 196"/>
    <n v="13.872000000000002"/>
    <n v="3"/>
    <n v="0.2"/>
    <n v="5.0286000000000008"/>
  </r>
  <r>
    <n v="933"/>
    <s v="CA-2019-114216"/>
    <x v="264"/>
    <x v="1"/>
    <x v="343"/>
    <s v="Philadelphia"/>
    <x v="9"/>
    <x v="3"/>
    <x v="1"/>
    <x v="10"/>
    <s v="RSVP Cards &amp; Envelopes, Blank White, 8-1/2&quot; X 11&quot;, 24 Cards/25 Envelopes/Set"/>
    <n v="12.192"/>
    <n v="3"/>
    <n v="0.2"/>
    <n v="4.1147999999999998"/>
  </r>
  <r>
    <n v="934"/>
    <s v="CA-2018-140081"/>
    <x v="23"/>
    <x v="1"/>
    <x v="344"/>
    <s v="Philadelphia"/>
    <x v="9"/>
    <x v="3"/>
    <x v="1"/>
    <x v="10"/>
    <s v="Wirebound Message Books, 2 7/8&quot; x 5&quot;, 3 Forms per Page"/>
    <n v="45.056000000000004"/>
    <n v="8"/>
    <n v="0.2"/>
    <n v="15.206399999999997"/>
  </r>
  <r>
    <n v="935"/>
    <s v="CA-2018-140081"/>
    <x v="23"/>
    <x v="1"/>
    <x v="344"/>
    <s v="Philadelphia"/>
    <x v="9"/>
    <x v="3"/>
    <x v="1"/>
    <x v="8"/>
    <s v="JM Magazine Binder"/>
    <n v="29.718000000000007"/>
    <n v="6"/>
    <n v="0.7"/>
    <n v="-21.793199999999992"/>
  </r>
  <r>
    <n v="936"/>
    <s v="CA-2018-140081"/>
    <x v="23"/>
    <x v="1"/>
    <x v="344"/>
    <s v="Philadelphia"/>
    <x v="9"/>
    <x v="3"/>
    <x v="1"/>
    <x v="10"/>
    <s v="Xerox 202"/>
    <n v="15.552000000000003"/>
    <n v="3"/>
    <n v="0.2"/>
    <n v="5.4432"/>
  </r>
  <r>
    <n v="937"/>
    <s v="CA-2018-140081"/>
    <x v="23"/>
    <x v="1"/>
    <x v="344"/>
    <s v="Philadelphia"/>
    <x v="9"/>
    <x v="3"/>
    <x v="1"/>
    <x v="9"/>
    <s v="Sanyo 2.5 Cubic Foot Mid-Size Office Refrigerators"/>
    <n v="447.69600000000003"/>
    <n v="2"/>
    <n v="0.2"/>
    <n v="33.577199999999976"/>
  </r>
  <r>
    <n v="938"/>
    <s v="US-2019-111745"/>
    <x v="60"/>
    <x v="2"/>
    <x v="19"/>
    <s v="Farmington"/>
    <x v="27"/>
    <x v="1"/>
    <x v="2"/>
    <x v="11"/>
    <s v="NETGEAR AC1750 Dual Band Gigabit Smart WiFi Router"/>
    <n v="159.99"/>
    <n v="1"/>
    <n v="0"/>
    <n v="54.396599999999992"/>
  </r>
  <r>
    <n v="939"/>
    <s v="CA-2017-148250"/>
    <x v="350"/>
    <x v="1"/>
    <x v="345"/>
    <s v="Riverside"/>
    <x v="1"/>
    <x v="1"/>
    <x v="1"/>
    <x v="10"/>
    <s v="Xerox 213"/>
    <n v="12.96"/>
    <n v="2"/>
    <n v="0"/>
    <n v="6.2208000000000006"/>
  </r>
  <r>
    <n v="940"/>
    <s v="CA-2017-148250"/>
    <x v="350"/>
    <x v="1"/>
    <x v="345"/>
    <s v="Riverside"/>
    <x v="1"/>
    <x v="1"/>
    <x v="1"/>
    <x v="9"/>
    <s v="Fellowes 8 Outlet Superior Workstation Surge Protector w/o Phone/Fax/Modem Protection"/>
    <n v="134.47999999999999"/>
    <n v="4"/>
    <n v="0"/>
    <n v="34.964799999999997"/>
  </r>
  <r>
    <n v="941"/>
    <s v="CA-2018-105760"/>
    <x v="351"/>
    <x v="2"/>
    <x v="346"/>
    <s v="San Francisco"/>
    <x v="1"/>
    <x v="1"/>
    <x v="1"/>
    <x v="10"/>
    <s v="Message Book, Standard Line &quot;While You Were Out&quot;, 5 1/2&quot; X 4&quot;, 200 Sets/Book"/>
    <n v="17.12"/>
    <n v="2"/>
    <n v="0"/>
    <n v="8.0464000000000002"/>
  </r>
  <r>
    <n v="942"/>
    <s v="CA-2018-142958"/>
    <x v="180"/>
    <x v="1"/>
    <x v="338"/>
    <s v="Torrance"/>
    <x v="1"/>
    <x v="1"/>
    <x v="1"/>
    <x v="8"/>
    <s v="Acco Pressboard Covers with Storage Hooks, 14 7/8&quot; x 11&quot;, Dark Blue"/>
    <n v="6.0960000000000001"/>
    <n v="2"/>
    <n v="0.2"/>
    <n v="2.2098"/>
  </r>
  <r>
    <n v="943"/>
    <s v="CA-2018-142958"/>
    <x v="180"/>
    <x v="1"/>
    <x v="338"/>
    <s v="Torrance"/>
    <x v="1"/>
    <x v="1"/>
    <x v="0"/>
    <x v="3"/>
    <s v="Bretford CR4500 Series Slim Rectangular Table"/>
    <n v="1114.2719999999999"/>
    <n v="4"/>
    <n v="0.2"/>
    <n v="41.785200000000032"/>
  </r>
  <r>
    <n v="944"/>
    <s v="CA-2017-120880"/>
    <x v="352"/>
    <x v="1"/>
    <x v="139"/>
    <s v="Seattle"/>
    <x v="4"/>
    <x v="1"/>
    <x v="1"/>
    <x v="10"/>
    <s v="Xerox 1894"/>
    <n v="32.400000000000006"/>
    <n v="5"/>
    <n v="0"/>
    <n v="15.552000000000001"/>
  </r>
  <r>
    <n v="945"/>
    <s v="CA-2017-120880"/>
    <x v="352"/>
    <x v="1"/>
    <x v="139"/>
    <s v="Seattle"/>
    <x v="4"/>
    <x v="1"/>
    <x v="1"/>
    <x v="4"/>
    <s v="Standard Rollaway File with Lock"/>
    <n v="540.56999999999994"/>
    <n v="3"/>
    <n v="0"/>
    <n v="140.54820000000001"/>
  </r>
  <r>
    <n v="946"/>
    <s v="CA-2017-120880"/>
    <x v="352"/>
    <x v="1"/>
    <x v="139"/>
    <s v="Seattle"/>
    <x v="4"/>
    <x v="1"/>
    <x v="1"/>
    <x v="8"/>
    <s v="Avery Trapezoid Extra Heavy Duty 4&quot; Binders"/>
    <n v="167.76"/>
    <n v="5"/>
    <n v="0.2"/>
    <n v="62.91"/>
  </r>
  <r>
    <n v="947"/>
    <s v="US-2017-140200"/>
    <x v="353"/>
    <x v="2"/>
    <x v="222"/>
    <s v="Mesa"/>
    <x v="16"/>
    <x v="1"/>
    <x v="0"/>
    <x v="3"/>
    <s v="Bevis Boat-Shaped Conference Table"/>
    <n v="393.16500000000002"/>
    <n v="3"/>
    <n v="0.5"/>
    <n v="-204.44580000000005"/>
  </r>
  <r>
    <n v="948"/>
    <s v="US-2019-110576"/>
    <x v="354"/>
    <x v="1"/>
    <x v="176"/>
    <s v="Philadelphia"/>
    <x v="9"/>
    <x v="3"/>
    <x v="0"/>
    <x v="5"/>
    <s v="Deflect-o RollaMat Studded, Beveled Mat for Medium Pile Carpeting"/>
    <n v="516.48800000000006"/>
    <n v="7"/>
    <n v="0.2"/>
    <n v="-12.912200000000027"/>
  </r>
  <r>
    <n v="949"/>
    <s v="US-2019-110576"/>
    <x v="354"/>
    <x v="1"/>
    <x v="176"/>
    <s v="Philadelphia"/>
    <x v="9"/>
    <x v="3"/>
    <x v="0"/>
    <x v="5"/>
    <s v="Luxo Professional Fluorescent Magnifier Lamp with Clamp-Mount Base"/>
    <n v="1007.2320000000001"/>
    <n v="6"/>
    <n v="0.2"/>
    <n v="75.542400000000015"/>
  </r>
  <r>
    <n v="950"/>
    <s v="US-2019-110576"/>
    <x v="354"/>
    <x v="1"/>
    <x v="176"/>
    <s v="Philadelphia"/>
    <x v="9"/>
    <x v="3"/>
    <x v="0"/>
    <x v="3"/>
    <s v="Riverside Furniture Oval Coffee Table, Oval End Table, End Table with Drawer"/>
    <n v="2065.3200000000002"/>
    <n v="12"/>
    <n v="0.4"/>
    <n v="-619.59600000000012"/>
  </r>
  <r>
    <n v="951"/>
    <s v="US-2019-110576"/>
    <x v="354"/>
    <x v="1"/>
    <x v="176"/>
    <s v="Philadelphia"/>
    <x v="9"/>
    <x v="3"/>
    <x v="1"/>
    <x v="10"/>
    <s v="Xerox 210"/>
    <n v="15.552000000000003"/>
    <n v="3"/>
    <n v="0.2"/>
    <n v="5.4432"/>
  </r>
  <r>
    <n v="952"/>
    <s v="US-2019-110576"/>
    <x v="354"/>
    <x v="1"/>
    <x v="176"/>
    <s v="Philadelphia"/>
    <x v="9"/>
    <x v="3"/>
    <x v="1"/>
    <x v="10"/>
    <s v="Xerox 4200 Series MultiUse Premium Copy Paper (20Lb. and 84 Bright)"/>
    <n v="25.344000000000001"/>
    <n v="6"/>
    <n v="0.2"/>
    <n v="7.92"/>
  </r>
  <r>
    <n v="953"/>
    <s v="CA-2019-131156"/>
    <x v="355"/>
    <x v="1"/>
    <x v="347"/>
    <s v="Philadelphia"/>
    <x v="9"/>
    <x v="3"/>
    <x v="0"/>
    <x v="5"/>
    <s v="Staple-based wall hangings"/>
    <n v="25.472000000000001"/>
    <n v="4"/>
    <n v="0.2"/>
    <n v="7.6416000000000022"/>
  </r>
  <r>
    <n v="954"/>
    <s v="CA-2019-136539"/>
    <x v="116"/>
    <x v="1"/>
    <x v="348"/>
    <s v="Round Rock"/>
    <x v="5"/>
    <x v="2"/>
    <x v="1"/>
    <x v="6"/>
    <s v="Stanley Bostitch Contemporary Electric Pencil Sharpeners"/>
    <n v="27.168000000000003"/>
    <n v="2"/>
    <n v="0.2"/>
    <n v="2.7168000000000001"/>
  </r>
  <r>
    <n v="955"/>
    <s v="CA-2019-136539"/>
    <x v="116"/>
    <x v="1"/>
    <x v="348"/>
    <s v="Round Rock"/>
    <x v="5"/>
    <x v="2"/>
    <x v="0"/>
    <x v="0"/>
    <s v="Bush Westfield Collection Bookcases, Medium Cherry Finish"/>
    <n v="78.852799999999988"/>
    <n v="2"/>
    <n v="0.32"/>
    <n v="-11.595999999999997"/>
  </r>
  <r>
    <n v="956"/>
    <s v="CA-2019-119305"/>
    <x v="329"/>
    <x v="1"/>
    <x v="349"/>
    <s v="Jackson"/>
    <x v="35"/>
    <x v="0"/>
    <x v="1"/>
    <x v="4"/>
    <s v="Home/Office Personal File Carts"/>
    <n v="173.79999999999998"/>
    <n v="5"/>
    <n v="0"/>
    <n v="43.449999999999989"/>
  </r>
  <r>
    <n v="957"/>
    <s v="CA-2019-102414"/>
    <x v="356"/>
    <x v="0"/>
    <x v="350"/>
    <s v="Phoenix"/>
    <x v="16"/>
    <x v="1"/>
    <x v="2"/>
    <x v="7"/>
    <s v="Logitech B530 USB Headset - headset - Full size, Binaural"/>
    <n v="29.592000000000002"/>
    <n v="1"/>
    <n v="0.2"/>
    <n v="2.5893000000000006"/>
  </r>
  <r>
    <n v="958"/>
    <s v="CA-2019-102414"/>
    <x v="356"/>
    <x v="0"/>
    <x v="350"/>
    <s v="Phoenix"/>
    <x v="16"/>
    <x v="1"/>
    <x v="1"/>
    <x v="8"/>
    <s v="Avery Durable Slant Ring Binders"/>
    <n v="4.7520000000000007"/>
    <n v="2"/>
    <n v="0.7"/>
    <n v="-3.1679999999999993"/>
  </r>
  <r>
    <n v="959"/>
    <s v="CA-2019-102414"/>
    <x v="356"/>
    <x v="0"/>
    <x v="350"/>
    <s v="Phoenix"/>
    <x v="16"/>
    <x v="1"/>
    <x v="1"/>
    <x v="10"/>
    <s v="Universal Ultra Bright White Copier/Laser Paper, 8 1/2&quot; x 11&quot;, Ream"/>
    <n v="15.552000000000003"/>
    <n v="3"/>
    <n v="0.2"/>
    <n v="5.6375999999999999"/>
  </r>
  <r>
    <n v="960"/>
    <s v="CA-2017-112571"/>
    <x v="357"/>
    <x v="3"/>
    <x v="351"/>
    <s v="Oceanside"/>
    <x v="1"/>
    <x v="1"/>
    <x v="0"/>
    <x v="5"/>
    <s v="Luxo Professional Combination Clamp-On Lamps"/>
    <n v="204.6"/>
    <n v="2"/>
    <n v="0"/>
    <n v="53.195999999999998"/>
  </r>
  <r>
    <n v="961"/>
    <s v="CA-2019-152142"/>
    <x v="237"/>
    <x v="1"/>
    <x v="352"/>
    <s v="San Francisco"/>
    <x v="1"/>
    <x v="1"/>
    <x v="0"/>
    <x v="1"/>
    <s v="Global Leather Highback Executive Chair with Pneumatic Height Adjustment, Black"/>
    <n v="321.56799999999998"/>
    <n v="2"/>
    <n v="0.2"/>
    <n v="28.137200000000007"/>
  </r>
  <r>
    <n v="962"/>
    <s v="CA-2017-160059"/>
    <x v="154"/>
    <x v="1"/>
    <x v="353"/>
    <s v="Fayetteville"/>
    <x v="36"/>
    <x v="0"/>
    <x v="1"/>
    <x v="8"/>
    <s v="Zipper Ring Binder Pockets"/>
    <n v="6.24"/>
    <n v="2"/>
    <n v="0"/>
    <n v="3.0575999999999999"/>
  </r>
  <r>
    <n v="963"/>
    <s v="CA-2018-120859"/>
    <x v="142"/>
    <x v="2"/>
    <x v="51"/>
    <s v="San Francisco"/>
    <x v="1"/>
    <x v="1"/>
    <x v="1"/>
    <x v="12"/>
    <s v="White Business Envelopes with Contemporary Seam, Recycled White Business Envelopes"/>
    <n v="21.88"/>
    <n v="2"/>
    <n v="0"/>
    <n v="10.94"/>
  </r>
  <r>
    <n v="964"/>
    <s v="CA-2016-127488"/>
    <x v="358"/>
    <x v="0"/>
    <x v="333"/>
    <s v="Boca Raton"/>
    <x v="2"/>
    <x v="0"/>
    <x v="1"/>
    <x v="2"/>
    <s v="Avery File Folder Labels"/>
    <n v="4.6079999999999997"/>
    <n v="2"/>
    <n v="0.2"/>
    <n v="1.6704000000000001"/>
  </r>
  <r>
    <n v="965"/>
    <s v="CA-2019-135279"/>
    <x v="359"/>
    <x v="2"/>
    <x v="354"/>
    <s v="New York City"/>
    <x v="15"/>
    <x v="3"/>
    <x v="1"/>
    <x v="2"/>
    <s v="Color-Coded Legal Exhibit Labels"/>
    <n v="9.82"/>
    <n v="2"/>
    <n v="0"/>
    <n v="4.8117999999999999"/>
  </r>
  <r>
    <n v="966"/>
    <s v="CA-2019-135279"/>
    <x v="359"/>
    <x v="2"/>
    <x v="354"/>
    <s v="New York City"/>
    <x v="15"/>
    <x v="3"/>
    <x v="1"/>
    <x v="6"/>
    <s v="Bulldog Vacuum Base Pencil Sharpener"/>
    <n v="35.97"/>
    <n v="3"/>
    <n v="0"/>
    <n v="9.7118999999999982"/>
  </r>
  <r>
    <n v="967"/>
    <s v="CA-2019-135279"/>
    <x v="359"/>
    <x v="2"/>
    <x v="354"/>
    <s v="New York City"/>
    <x v="15"/>
    <x v="3"/>
    <x v="1"/>
    <x v="10"/>
    <s v="Xerox 212"/>
    <n v="12.96"/>
    <n v="2"/>
    <n v="0"/>
    <n v="6.2208000000000006"/>
  </r>
  <r>
    <n v="968"/>
    <s v="CA-2019-135279"/>
    <x v="359"/>
    <x v="2"/>
    <x v="354"/>
    <s v="New York City"/>
    <x v="15"/>
    <x v="3"/>
    <x v="1"/>
    <x v="10"/>
    <s v="Computer Printout Paper with Letter-Trim Fine Perforations"/>
    <n v="191.6"/>
    <n v="4"/>
    <n v="0"/>
    <n v="91.967999999999989"/>
  </r>
  <r>
    <n v="969"/>
    <s v="CA-2019-135279"/>
    <x v="359"/>
    <x v="2"/>
    <x v="354"/>
    <s v="New York City"/>
    <x v="15"/>
    <x v="3"/>
    <x v="1"/>
    <x v="2"/>
    <s v="Avery File Folder Labels"/>
    <n v="8.64"/>
    <n v="3"/>
    <n v="0"/>
    <n v="4.2336"/>
  </r>
  <r>
    <n v="970"/>
    <s v="CA-2019-135279"/>
    <x v="359"/>
    <x v="2"/>
    <x v="354"/>
    <s v="New York City"/>
    <x v="15"/>
    <x v="3"/>
    <x v="1"/>
    <x v="4"/>
    <s v="Office Impressions Heavy Duty Welded Shelving &amp; Multimedia Storage Drawers"/>
    <n v="501.81000000000006"/>
    <n v="3"/>
    <n v="0"/>
    <n v="0"/>
  </r>
  <r>
    <n v="971"/>
    <s v="CA-2016-115791"/>
    <x v="360"/>
    <x v="0"/>
    <x v="111"/>
    <s v="Philadelphia"/>
    <x v="9"/>
    <x v="3"/>
    <x v="0"/>
    <x v="5"/>
    <s v="DAX Black Cherry Wood-Tone Poster Frame"/>
    <n v="127.10400000000001"/>
    <n v="6"/>
    <n v="0.2"/>
    <n v="28.598399999999998"/>
  </r>
  <r>
    <n v="972"/>
    <s v="CA-2016-115791"/>
    <x v="360"/>
    <x v="0"/>
    <x v="111"/>
    <s v="Philadelphia"/>
    <x v="9"/>
    <x v="3"/>
    <x v="2"/>
    <x v="7"/>
    <s v="AT&amp;T 841000 Phone"/>
    <n v="124.19999999999999"/>
    <n v="3"/>
    <n v="0.4"/>
    <n v="-31.050000000000011"/>
  </r>
  <r>
    <n v="973"/>
    <s v="CA-2016-115791"/>
    <x v="360"/>
    <x v="0"/>
    <x v="111"/>
    <s v="Philadelphia"/>
    <x v="9"/>
    <x v="3"/>
    <x v="1"/>
    <x v="8"/>
    <s v="GBC Linen Binding Covers"/>
    <n v="18.588000000000005"/>
    <n v="2"/>
    <n v="0.7"/>
    <n v="-13.6312"/>
  </r>
  <r>
    <n v="974"/>
    <s v="CA-2016-115791"/>
    <x v="360"/>
    <x v="0"/>
    <x v="111"/>
    <s v="Philadelphia"/>
    <x v="9"/>
    <x v="3"/>
    <x v="1"/>
    <x v="2"/>
    <s v="Round Specialty Laser Printer Labels"/>
    <n v="30.072000000000003"/>
    <n v="3"/>
    <n v="0.2"/>
    <n v="10.149299999999997"/>
  </r>
  <r>
    <n v="975"/>
    <s v="US-2019-103247"/>
    <x v="361"/>
    <x v="0"/>
    <x v="285"/>
    <s v="New York City"/>
    <x v="15"/>
    <x v="3"/>
    <x v="2"/>
    <x v="7"/>
    <s v="Motorola HK250 Universal Bluetooth Headset"/>
    <n v="160.92999999999998"/>
    <n v="7"/>
    <n v="0"/>
    <n v="3.2186000000000092"/>
  </r>
  <r>
    <n v="976"/>
    <s v="US-2019-103247"/>
    <x v="361"/>
    <x v="0"/>
    <x v="285"/>
    <s v="New York City"/>
    <x v="15"/>
    <x v="3"/>
    <x v="1"/>
    <x v="8"/>
    <s v="Tuf-Vin Binders"/>
    <n v="75.792000000000002"/>
    <n v="3"/>
    <n v="0.2"/>
    <n v="25.579799999999992"/>
  </r>
  <r>
    <n v="977"/>
    <s v="US-2019-100209"/>
    <x v="362"/>
    <x v="1"/>
    <x v="143"/>
    <s v="Portland"/>
    <x v="21"/>
    <x v="1"/>
    <x v="1"/>
    <x v="8"/>
    <s v="Wilson Jones Easy Flow II Sheet Lifters"/>
    <n v="1.0800000000000003"/>
    <n v="2"/>
    <n v="0.7"/>
    <n v="-0.79200000000000004"/>
  </r>
  <r>
    <n v="978"/>
    <s v="CA-2019-159366"/>
    <x v="363"/>
    <x v="2"/>
    <x v="308"/>
    <s v="Detroit"/>
    <x v="12"/>
    <x v="2"/>
    <x v="2"/>
    <x v="15"/>
    <s v="Lexmark MX611dhe Monochrome Laser Printer"/>
    <n v="3059.982"/>
    <n v="2"/>
    <n v="0.1"/>
    <n v="679.99599999999964"/>
  </r>
  <r>
    <n v="979"/>
    <s v="CA-2018-145499"/>
    <x v="198"/>
    <x v="2"/>
    <x v="355"/>
    <s v="Wilmington"/>
    <x v="3"/>
    <x v="0"/>
    <x v="1"/>
    <x v="8"/>
    <s v="Angle-D Ring Binders"/>
    <n v="3.2820000000000005"/>
    <n v="2"/>
    <n v="0.7"/>
    <n v="-2.6256000000000004"/>
  </r>
  <r>
    <n v="980"/>
    <s v="CA-2017-157035"/>
    <x v="364"/>
    <x v="2"/>
    <x v="33"/>
    <s v="Columbus"/>
    <x v="14"/>
    <x v="2"/>
    <x v="1"/>
    <x v="10"/>
    <s v="Xerox 188"/>
    <n v="34.019999999999996"/>
    <n v="3"/>
    <n v="0"/>
    <n v="16.669799999999999"/>
  </r>
  <r>
    <n v="981"/>
    <s v="CA-2018-144939"/>
    <x v="339"/>
    <x v="1"/>
    <x v="12"/>
    <s v="New York City"/>
    <x v="15"/>
    <x v="3"/>
    <x v="0"/>
    <x v="1"/>
    <s v="Office Star - Contemporary Task Swivel Chair"/>
    <n v="599.29200000000003"/>
    <n v="6"/>
    <n v="0.1"/>
    <n v="93.223199999999977"/>
  </r>
  <r>
    <n v="982"/>
    <s v="CA-2016-163419"/>
    <x v="7"/>
    <x v="0"/>
    <x v="356"/>
    <s v="Louisville"/>
    <x v="22"/>
    <x v="1"/>
    <x v="1"/>
    <x v="6"/>
    <s v="BIC Brite Liner Grip Highlighters, Assorted, 5/Pack"/>
    <n v="3.3920000000000003"/>
    <n v="1"/>
    <n v="0.2"/>
    <n v="0.80559999999999987"/>
  </r>
  <r>
    <n v="983"/>
    <s v="CA-2016-163419"/>
    <x v="7"/>
    <x v="0"/>
    <x v="356"/>
    <s v="Louisville"/>
    <x v="22"/>
    <x v="1"/>
    <x v="2"/>
    <x v="7"/>
    <s v="Samsung Galaxy S III - 16GB - pebble blue (T-Mobile)"/>
    <n v="559.98400000000004"/>
    <n v="2"/>
    <n v="0.2"/>
    <n v="55.998400000000032"/>
  </r>
  <r>
    <n v="984"/>
    <s v="CA-2016-163419"/>
    <x v="7"/>
    <x v="0"/>
    <x v="356"/>
    <s v="Louisville"/>
    <x v="22"/>
    <x v="1"/>
    <x v="0"/>
    <x v="1"/>
    <s v="Global Airflow Leather Mesh Back Chair, Black"/>
    <n v="603.91999999999996"/>
    <n v="5"/>
    <n v="0.2"/>
    <n v="75.489999999999924"/>
  </r>
  <r>
    <n v="985"/>
    <s v="CA-2019-100314"/>
    <x v="365"/>
    <x v="1"/>
    <x v="357"/>
    <s v="Pasadena"/>
    <x v="5"/>
    <x v="2"/>
    <x v="1"/>
    <x v="2"/>
    <s v="Avery 499"/>
    <n v="7.9680000000000009"/>
    <n v="2"/>
    <n v="0.2"/>
    <n v="2.5895999999999999"/>
  </r>
  <r>
    <n v="986"/>
    <s v="CA-2019-100314"/>
    <x v="365"/>
    <x v="1"/>
    <x v="357"/>
    <s v="Pasadena"/>
    <x v="5"/>
    <x v="2"/>
    <x v="1"/>
    <x v="12"/>
    <s v="#10- 4 1/8&quot; x 9 1/2&quot; Recycled Envelopes"/>
    <n v="27.968000000000004"/>
    <n v="4"/>
    <n v="0.2"/>
    <n v="9.4391999999999996"/>
  </r>
  <r>
    <n v="987"/>
    <s v="CA-2019-100314"/>
    <x v="365"/>
    <x v="1"/>
    <x v="357"/>
    <s v="Pasadena"/>
    <x v="5"/>
    <x v="2"/>
    <x v="2"/>
    <x v="15"/>
    <s v="Wasp CCD Handheld Bar Code Reader"/>
    <n v="336.51"/>
    <n v="3"/>
    <n v="0.4"/>
    <n v="44.867999999999967"/>
  </r>
  <r>
    <n v="988"/>
    <s v="CA-2017-146829"/>
    <x v="366"/>
    <x v="3"/>
    <x v="358"/>
    <s v="Houston"/>
    <x v="5"/>
    <x v="2"/>
    <x v="1"/>
    <x v="8"/>
    <s v="Acco Suede Grain Vinyl Round Ring Binder"/>
    <n v="1.1119999999999997"/>
    <n v="2"/>
    <n v="0.8"/>
    <n v="-1.8904000000000001"/>
  </r>
  <r>
    <n v="989"/>
    <s v="CA-2019-167899"/>
    <x v="367"/>
    <x v="1"/>
    <x v="189"/>
    <s v="Auburn"/>
    <x v="15"/>
    <x v="3"/>
    <x v="0"/>
    <x v="5"/>
    <s v="Luxo Professional Magnifying Clamp-On Fluorescent Lamps"/>
    <n v="520.05000000000007"/>
    <n v="5"/>
    <n v="0"/>
    <n v="72.807000000000031"/>
  </r>
  <r>
    <n v="990"/>
    <s v="CA-2019-167899"/>
    <x v="367"/>
    <x v="1"/>
    <x v="189"/>
    <s v="Auburn"/>
    <x v="15"/>
    <x v="3"/>
    <x v="1"/>
    <x v="6"/>
    <s v="Bulldog Table or Wall-Mount Pencil Sharpener"/>
    <n v="17.97"/>
    <n v="3"/>
    <n v="0"/>
    <n v="5.2112999999999996"/>
  </r>
  <r>
    <n v="991"/>
    <s v="CA-2017-153549"/>
    <x v="368"/>
    <x v="0"/>
    <x v="359"/>
    <s v="Jacksonville"/>
    <x v="2"/>
    <x v="0"/>
    <x v="0"/>
    <x v="1"/>
    <s v="Hon 4070 Series Pagoda Armless Upholstered Stacking Chairs"/>
    <n v="1166.92"/>
    <n v="5"/>
    <n v="0.2"/>
    <n v="131.27849999999995"/>
  </r>
  <r>
    <n v="992"/>
    <s v="CA-2018-110023"/>
    <x v="369"/>
    <x v="2"/>
    <x v="59"/>
    <s v="New York City"/>
    <x v="15"/>
    <x v="3"/>
    <x v="1"/>
    <x v="8"/>
    <s v="Cardinal EasyOpen D-Ring Binders"/>
    <n v="14.624000000000002"/>
    <n v="2"/>
    <n v="0.2"/>
    <n v="5.484"/>
  </r>
  <r>
    <n v="993"/>
    <s v="CA-2018-105585"/>
    <x v="370"/>
    <x v="2"/>
    <x v="288"/>
    <s v="San Jose"/>
    <x v="1"/>
    <x v="1"/>
    <x v="1"/>
    <x v="13"/>
    <s v="Advantus SlideClip Paper Clips"/>
    <n v="10.23"/>
    <n v="3"/>
    <n v="0"/>
    <n v="4.9104000000000001"/>
  </r>
  <r>
    <n v="994"/>
    <s v="CA-2018-105585"/>
    <x v="370"/>
    <x v="2"/>
    <x v="288"/>
    <s v="San Jose"/>
    <x v="1"/>
    <x v="1"/>
    <x v="1"/>
    <x v="10"/>
    <s v="Xerox 1979"/>
    <n v="154.9"/>
    <n v="5"/>
    <n v="0"/>
    <n v="69.704999999999998"/>
  </r>
  <r>
    <n v="995"/>
    <s v="CA-2016-117639"/>
    <x v="371"/>
    <x v="1"/>
    <x v="360"/>
    <s v="Virginia Beach"/>
    <x v="17"/>
    <x v="0"/>
    <x v="1"/>
    <x v="8"/>
    <s v="Fellowes PB300 Plastic Comb Binding Machine"/>
    <n v="2715.9300000000003"/>
    <n v="7"/>
    <n v="0"/>
    <n v="1276.4871000000001"/>
  </r>
  <r>
    <n v="996"/>
    <s v="CA-2016-117639"/>
    <x v="371"/>
    <x v="1"/>
    <x v="360"/>
    <s v="Virginia Beach"/>
    <x v="17"/>
    <x v="0"/>
    <x v="2"/>
    <x v="7"/>
    <s v="Plantronics Voyager Pro Legend"/>
    <n v="617.97"/>
    <n v="3"/>
    <n v="0"/>
    <n v="173.0316"/>
  </r>
  <r>
    <n v="997"/>
    <s v="CA-2017-162537"/>
    <x v="372"/>
    <x v="1"/>
    <x v="361"/>
    <s v="Henderson"/>
    <x v="0"/>
    <x v="0"/>
    <x v="1"/>
    <x v="12"/>
    <s v="Laser &amp; Ink Jet Business Envelopes"/>
    <n v="10.67"/>
    <n v="1"/>
    <n v="0"/>
    <n v="4.9081999999999999"/>
  </r>
  <r>
    <n v="998"/>
    <s v="CA-2017-162537"/>
    <x v="372"/>
    <x v="1"/>
    <x v="361"/>
    <s v="Henderson"/>
    <x v="0"/>
    <x v="0"/>
    <x v="1"/>
    <x v="4"/>
    <s v="Portable Personal File Box"/>
    <n v="36.630000000000003"/>
    <n v="3"/>
    <n v="0"/>
    <n v="9.8901000000000039"/>
  </r>
  <r>
    <n v="999"/>
    <s v="CA-2017-162537"/>
    <x v="372"/>
    <x v="1"/>
    <x v="361"/>
    <s v="Henderson"/>
    <x v="0"/>
    <x v="0"/>
    <x v="0"/>
    <x v="5"/>
    <s v="Magna Visual Magnetic Picture Hangers"/>
    <n v="24.1"/>
    <n v="5"/>
    <n v="0"/>
    <n v="9.1580000000000013"/>
  </r>
  <r>
    <n v="1000"/>
    <s v="CA-2017-162537"/>
    <x v="372"/>
    <x v="1"/>
    <x v="361"/>
    <s v="Henderson"/>
    <x v="0"/>
    <x v="0"/>
    <x v="0"/>
    <x v="5"/>
    <s v="C-Line Cubicle Keepers Polyproplyene Holder With Velcro Backings"/>
    <n v="33.11"/>
    <n v="7"/>
    <n v="0"/>
    <n v="12.9129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A8CB37-EE4A-44CD-835F-AA41C2E26C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FDA1E3-E1DB-4C0E-9040-4F19B5852DD7}" name="PivotTable12"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O7:AO8"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Items count="1">
    <i/>
  </rowItems>
  <colItems count="1">
    <i/>
  </colItems>
  <dataFields count="1">
    <dataField name="Sum of Profit" fld="14" baseField="0" baseItem="0"/>
  </dataFields>
  <formats count="1">
    <format dxfId="9">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A86DA-E50B-4F76-8C56-246767E37E3F}" name="PivotTable16"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W31:AY48"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formats count="3">
    <format dxfId="12">
      <pivotArea type="all" dataOnly="0" outline="0" fieldPosition="0"/>
    </format>
    <format dxfId="11">
      <pivotArea dataOnly="0" labelOnly="1" outline="0" axis="axisValues" fieldPosition="0"/>
    </format>
    <format dxfId="10">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B8E08-94C7-40A3-9C34-26DBCA0910C5}" name="PivotTable10"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M8:AM9"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Items count="1">
    <i/>
  </rowItems>
  <colItems count="1">
    <i/>
  </colItems>
  <dataFields count="1">
    <dataField name="Sum of Sales" fld="11" baseField="0" baseItem="0" numFmtId="41"/>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1">
    <chartFormat chart="13" format="1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9EB232-F94C-4741-A6AB-B99D08CD9FF0}" name="PivotTable4"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J4:L21" firstHeaderRow="0" firstDataRow="1" firstDataCol="1"/>
  <pivotFields count="18">
    <pivotField compact="0" outline="0" showAll="0" defaultSubtotal="0"/>
    <pivotField dataField="1"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axis="axisRow"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Fields count="1">
    <field x="9"/>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Sales" fld="11" baseField="0" baseItem="0" numFmtId="164"/>
    <dataField name="Count of Order ID" fld="1" subtotal="count" baseField="0" baseItem="0"/>
  </dataFields>
  <formats count="1">
    <format dxfId="15">
      <pivotArea outline="0" fieldPosition="0">
        <references count="1">
          <reference field="4294967294" count="1" selected="0">
            <x v="0"/>
          </reference>
        </references>
      </pivotArea>
    </format>
  </formats>
  <chartFormats count="9">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pivotArea type="data" outline="0" fieldPosition="0">
        <references count="2">
          <reference field="4294967294" count="1" selected="0">
            <x v="1"/>
          </reference>
          <reference field="9" count="1" selected="0">
            <x v="12"/>
          </reference>
        </references>
      </pivotArea>
    </chartFormat>
    <chartFormat chart="21" format="19"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1"/>
          </reference>
        </references>
      </pivotArea>
    </chartFormat>
    <chartFormat chart="23" format="23" series="1">
      <pivotArea type="data" outline="0" fieldPosition="0">
        <references count="1">
          <reference field="4294967294" count="1" selected="0">
            <x v="0"/>
          </reference>
        </references>
      </pivotArea>
    </chartFormat>
    <chartFormat chart="23" format="24" series="1">
      <pivotArea type="data" outline="0" fieldPosition="0">
        <references count="1">
          <reference field="4294967294" count="1" selected="0">
            <x v="1"/>
          </reference>
        </references>
      </pivotArea>
    </chartFormat>
    <chartFormat chart="25" format="23" series="1">
      <pivotArea type="data" outline="0" fieldPosition="0">
        <references count="1">
          <reference field="4294967294" count="1" selected="0">
            <x v="0"/>
          </reference>
        </references>
      </pivotArea>
    </chartFormat>
    <chartFormat chart="25" format="24" series="1">
      <pivotArea type="data" outline="0" fieldPosition="0">
        <references count="1">
          <reference field="4294967294" count="1" selected="0">
            <x v="1"/>
          </reference>
        </references>
      </pivotArea>
    </chartFormat>
  </chart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62700D-49FC-47A8-ABEC-DACD60535966}"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P4:Q8" firstHeaderRow="1" firstDataRow="1" firstDataCol="1"/>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Fields count="1">
    <field x="3"/>
  </rowFields>
  <rowItems count="4">
    <i>
      <x/>
    </i>
    <i>
      <x v="1"/>
    </i>
    <i>
      <x v="2"/>
    </i>
    <i>
      <x v="3"/>
    </i>
  </rowItems>
  <colItems count="1">
    <i/>
  </colItems>
  <dataFields count="1">
    <dataField name="Sum of Profit" fld="14" baseField="0" baseItem="0" numFmtId="164"/>
  </dataFields>
  <formats count="1">
    <format dxfId="16">
      <pivotArea outline="0" fieldPosition="0">
        <references count="1">
          <reference field="4294967294" count="1" selected="0">
            <x v="0"/>
          </reference>
        </references>
      </pivotArea>
    </format>
  </formats>
  <chartFormats count="15">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3" count="1" selected="0">
            <x v="3"/>
          </reference>
        </references>
      </pivotArea>
    </chartFormat>
    <chartFormat chart="20" format="10">
      <pivotArea type="data" outline="0" fieldPosition="0">
        <references count="2">
          <reference field="4294967294" count="1" selected="0">
            <x v="0"/>
          </reference>
          <reference field="3" count="1" selected="0">
            <x v="2"/>
          </reference>
        </references>
      </pivotArea>
    </chartFormat>
    <chartFormat chart="20" format="11">
      <pivotArea type="data" outline="0" fieldPosition="0">
        <references count="2">
          <reference field="4294967294" count="1" selected="0">
            <x v="0"/>
          </reference>
          <reference field="3" count="1" selected="0">
            <x v="1"/>
          </reference>
        </references>
      </pivotArea>
    </chartFormat>
    <chartFormat chart="20" format="12">
      <pivotArea type="data" outline="0" fieldPosition="0">
        <references count="2">
          <reference field="4294967294" count="1" selected="0">
            <x v="0"/>
          </reference>
          <reference field="3" count="1" selected="0">
            <x v="0"/>
          </reference>
        </references>
      </pivotArea>
    </chartFormat>
    <chartFormat chart="22" format="18" series="1">
      <pivotArea type="data" outline="0" fieldPosition="0">
        <references count="1">
          <reference field="4294967294" count="1" selected="0">
            <x v="0"/>
          </reference>
        </references>
      </pivotArea>
    </chartFormat>
    <chartFormat chart="22" format="19">
      <pivotArea type="data" outline="0" fieldPosition="0">
        <references count="2">
          <reference field="4294967294" count="1" selected="0">
            <x v="0"/>
          </reference>
          <reference field="3" count="1" selected="0">
            <x v="0"/>
          </reference>
        </references>
      </pivotArea>
    </chartFormat>
    <chartFormat chart="22" format="20">
      <pivotArea type="data" outline="0" fieldPosition="0">
        <references count="2">
          <reference field="4294967294" count="1" selected="0">
            <x v="0"/>
          </reference>
          <reference field="3" count="1" selected="0">
            <x v="1"/>
          </reference>
        </references>
      </pivotArea>
    </chartFormat>
    <chartFormat chart="22" format="21">
      <pivotArea type="data" outline="0" fieldPosition="0">
        <references count="2">
          <reference field="4294967294" count="1" selected="0">
            <x v="0"/>
          </reference>
          <reference field="3" count="1" selected="0">
            <x v="2"/>
          </reference>
        </references>
      </pivotArea>
    </chartFormat>
    <chartFormat chart="22" format="22">
      <pivotArea type="data" outline="0" fieldPosition="0">
        <references count="2">
          <reference field="4294967294" count="1" selected="0">
            <x v="0"/>
          </reference>
          <reference field="3" count="1" selected="0">
            <x v="3"/>
          </reference>
        </references>
      </pivotArea>
    </chartFormat>
    <chartFormat chart="24" format="18" series="1">
      <pivotArea type="data" outline="0" fieldPosition="0">
        <references count="1">
          <reference field="4294967294" count="1" selected="0">
            <x v="0"/>
          </reference>
        </references>
      </pivotArea>
    </chartFormat>
    <chartFormat chart="24" format="19">
      <pivotArea type="data" outline="0" fieldPosition="0">
        <references count="2">
          <reference field="4294967294" count="1" selected="0">
            <x v="0"/>
          </reference>
          <reference field="3" count="1" selected="0">
            <x v="0"/>
          </reference>
        </references>
      </pivotArea>
    </chartFormat>
    <chartFormat chart="24" format="20">
      <pivotArea type="data" outline="0" fieldPosition="0">
        <references count="2">
          <reference field="4294967294" count="1" selected="0">
            <x v="0"/>
          </reference>
          <reference field="3" count="1" selected="0">
            <x v="1"/>
          </reference>
        </references>
      </pivotArea>
    </chartFormat>
    <chartFormat chart="24" format="21">
      <pivotArea type="data" outline="0" fieldPosition="0">
        <references count="2">
          <reference field="4294967294" count="1" selected="0">
            <x v="0"/>
          </reference>
          <reference field="3" count="1" selected="0">
            <x v="2"/>
          </reference>
        </references>
      </pivotArea>
    </chartFormat>
    <chartFormat chart="24" format="22">
      <pivotArea type="data" outline="0" fieldPosition="0">
        <references count="2">
          <reference field="4294967294" count="1" selected="0">
            <x v="0"/>
          </reference>
          <reference field="3" count="1" selected="0">
            <x v="3"/>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CA6511-DA64-484F-8B1C-C51D55B5B493}" name="PivotTable15"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U30:AU31" firstHeaderRow="1" firstDataRow="1" firstDataCol="0"/>
  <pivotFields count="18">
    <pivotField compact="0" outline="0" showAll="0" defaultSubtotal="0"/>
    <pivotField dataField="1"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Items count="1">
    <i/>
  </rowItems>
  <colItems count="1">
    <i/>
  </colItems>
  <dataFields count="1">
    <dataField name="Count of Order ID" fld="1" subtotal="count" baseField="0" baseItem="0" numFmtId="1"/>
  </dataFields>
  <formats count="3">
    <format dxfId="19">
      <pivotArea type="all" dataOnly="0" outline="0" fieldPosition="0"/>
    </format>
    <format dxfId="18">
      <pivotArea dataOnly="0" labelOnly="1" outline="0" axis="axisValues" fieldPosition="0"/>
    </format>
    <format dxfId="17">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301AB7-E021-4C0A-8B34-2752C38AB3AA}" name="PivotTable14"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U8:AW25"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formats count="1">
    <format dxfId="20">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8894B0-50BA-44B6-8F61-3F6593923423}" name="PivotTable2"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4:E8" firstHeaderRow="1" firstDataRow="2" firstDataCol="1"/>
  <pivotFields count="18">
    <pivotField compact="0" outline="0" showAll="0" defaultSubtotal="0"/>
    <pivotField dataField="1"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axis="axisCol" compact="0" outline="0" showAll="0" defaultSubtotal="0">
      <items count="4">
        <item x="2"/>
        <item x="3"/>
        <item x="0"/>
        <item x="1"/>
      </items>
    </pivotField>
    <pivotField axis="axisRow"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Fields count="1">
    <field x="8"/>
  </rowFields>
  <rowItems count="3">
    <i>
      <x/>
    </i>
    <i>
      <x v="1"/>
    </i>
    <i>
      <x v="2"/>
    </i>
  </rowItems>
  <colFields count="1">
    <field x="7"/>
  </colFields>
  <colItems count="4">
    <i>
      <x/>
    </i>
    <i>
      <x v="1"/>
    </i>
    <i>
      <x v="2"/>
    </i>
    <i>
      <x v="3"/>
    </i>
  </colItems>
  <dataFields count="1">
    <dataField name="Count of Order ID" fld="1" subtotal="count" baseField="0" baseItem="0"/>
  </dataFields>
  <chartFormats count="19">
    <chartFormat chart="3" format="5" series="1">
      <pivotArea type="data" outline="0" fieldPosition="0">
        <references count="2">
          <reference field="4294967294" count="1" selected="0">
            <x v="0"/>
          </reference>
          <reference field="7" count="1" selected="0">
            <x v="0"/>
          </reference>
        </references>
      </pivotArea>
    </chartFormat>
    <chartFormat chart="3" format="6" series="1">
      <pivotArea type="data" outline="0" fieldPosition="0">
        <references count="2">
          <reference field="4294967294" count="1" selected="0">
            <x v="0"/>
          </reference>
          <reference field="7" count="1" selected="0">
            <x v="1"/>
          </reference>
        </references>
      </pivotArea>
    </chartFormat>
    <chartFormat chart="3" format="7" series="1">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2">
          <reference field="4294967294" count="1" selected="0">
            <x v="0"/>
          </reference>
          <reference field="7" count="1" selected="0">
            <x v="3"/>
          </reference>
        </references>
      </pivotArea>
    </chartFormat>
    <chartFormat chart="19" format="34" series="1">
      <pivotArea type="data" outline="0" fieldPosition="0">
        <references count="2">
          <reference field="4294967294" count="1" selected="0">
            <x v="0"/>
          </reference>
          <reference field="7" count="1" selected="0">
            <x v="0"/>
          </reference>
        </references>
      </pivotArea>
    </chartFormat>
    <chartFormat chart="19" format="35" series="1">
      <pivotArea type="data" outline="0" fieldPosition="0">
        <references count="2">
          <reference field="4294967294" count="1" selected="0">
            <x v="0"/>
          </reference>
          <reference field="7" count="1" selected="0">
            <x v="1"/>
          </reference>
        </references>
      </pivotArea>
    </chartFormat>
    <chartFormat chart="19" format="36" series="1">
      <pivotArea type="data" outline="0" fieldPosition="0">
        <references count="2">
          <reference field="4294967294" count="1" selected="0">
            <x v="0"/>
          </reference>
          <reference field="7" count="1" selected="0">
            <x v="2"/>
          </reference>
        </references>
      </pivotArea>
    </chartFormat>
    <chartFormat chart="19" format="37" series="1">
      <pivotArea type="data" outline="0" fieldPosition="0">
        <references count="2">
          <reference field="4294967294" count="1" selected="0">
            <x v="0"/>
          </reference>
          <reference field="7" count="1" selected="0">
            <x v="3"/>
          </reference>
        </references>
      </pivotArea>
    </chartFormat>
    <chartFormat chart="19" format="38" series="1">
      <pivotArea type="data" outline="0" fieldPosition="0">
        <references count="1">
          <reference field="4294967294" count="1" selected="0">
            <x v="0"/>
          </reference>
        </references>
      </pivotArea>
    </chartFormat>
    <chartFormat chart="21" format="43" series="1">
      <pivotArea type="data" outline="0" fieldPosition="0">
        <references count="2">
          <reference field="4294967294" count="1" selected="0">
            <x v="0"/>
          </reference>
          <reference field="7" count="1" selected="0">
            <x v="0"/>
          </reference>
        </references>
      </pivotArea>
    </chartFormat>
    <chartFormat chart="21" format="44" series="1">
      <pivotArea type="data" outline="0" fieldPosition="0">
        <references count="2">
          <reference field="4294967294" count="1" selected="0">
            <x v="0"/>
          </reference>
          <reference field="7" count="1" selected="0">
            <x v="1"/>
          </reference>
        </references>
      </pivotArea>
    </chartFormat>
    <chartFormat chart="21" format="45" series="1">
      <pivotArea type="data" outline="0" fieldPosition="0">
        <references count="2">
          <reference field="4294967294" count="1" selected="0">
            <x v="0"/>
          </reference>
          <reference field="7" count="1" selected="0">
            <x v="2"/>
          </reference>
        </references>
      </pivotArea>
    </chartFormat>
    <chartFormat chart="21" format="46" series="1">
      <pivotArea type="data" outline="0" fieldPosition="0">
        <references count="2">
          <reference field="4294967294" count="1" selected="0">
            <x v="0"/>
          </reference>
          <reference field="7" count="1" selected="0">
            <x v="3"/>
          </reference>
        </references>
      </pivotArea>
    </chartFormat>
    <chartFormat chart="23" format="43" series="1">
      <pivotArea type="data" outline="0" fieldPosition="0">
        <references count="2">
          <reference field="4294967294" count="1" selected="0">
            <x v="0"/>
          </reference>
          <reference field="7" count="1" selected="0">
            <x v="0"/>
          </reference>
        </references>
      </pivotArea>
    </chartFormat>
    <chartFormat chart="23" format="44" series="1">
      <pivotArea type="data" outline="0" fieldPosition="0">
        <references count="2">
          <reference field="4294967294" count="1" selected="0">
            <x v="0"/>
          </reference>
          <reference field="7" count="1" selected="0">
            <x v="1"/>
          </reference>
        </references>
      </pivotArea>
    </chartFormat>
    <chartFormat chart="23" format="45" series="1">
      <pivotArea type="data" outline="0" fieldPosition="0">
        <references count="2">
          <reference field="4294967294" count="1" selected="0">
            <x v="0"/>
          </reference>
          <reference field="7" count="1" selected="0">
            <x v="2"/>
          </reference>
        </references>
      </pivotArea>
    </chartFormat>
    <chartFormat chart="23" format="46" series="1">
      <pivotArea type="data" outline="0" fieldPosition="0">
        <references count="2">
          <reference field="4294967294" count="1" selected="0">
            <x v="0"/>
          </reference>
          <reference field="7" count="1" selected="0">
            <x v="3"/>
          </reference>
        </references>
      </pivotArea>
    </chartFormat>
    <chartFormat chart="23" format="47" series="1">
      <pivotArea type="data" outline="0" fieldPosition="0">
        <references count="1">
          <reference field="4294967294" count="1" selected="0">
            <x v="0"/>
          </reference>
        </references>
      </pivotArea>
    </chartFormat>
    <chartFormat chart="21" format="47"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C35E79-3288-477B-836D-EB49DB25037E}" name="PivotTable8"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Y4:AD21" firstHeaderRow="1" firstDataRow="2" firstDataCol="2"/>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axis="axisCol"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6">
        <item x="1"/>
        <item x="2"/>
        <item x="3"/>
        <item x="4"/>
        <item x="0"/>
        <item x="5"/>
      </items>
    </pivotField>
    <pivotField axis="axisRow" compact="0" outline="0" subtotalTop="0" showAll="0" defaultSubtotal="0">
      <items count="6">
        <item x="1"/>
        <item x="2"/>
        <item x="3"/>
        <item x="4"/>
        <item x="0"/>
        <item x="5"/>
      </items>
    </pivotField>
    <pivotField compact="0" outline="0" subtotalTop="0" dragToRow="0" dragToCol="0" dragToPage="0" showAll="0" defaultSubtotal="0"/>
  </pivotFields>
  <rowFields count="2">
    <field x="16"/>
    <field x="15"/>
  </rowFields>
  <rowItems count="16">
    <i>
      <x/>
      <x/>
    </i>
    <i r="1">
      <x v="1"/>
    </i>
    <i r="1">
      <x v="2"/>
    </i>
    <i r="1">
      <x v="3"/>
    </i>
    <i>
      <x v="1"/>
      <x/>
    </i>
    <i r="1">
      <x v="1"/>
    </i>
    <i r="1">
      <x v="2"/>
    </i>
    <i r="1">
      <x v="3"/>
    </i>
    <i>
      <x v="2"/>
      <x/>
    </i>
    <i r="1">
      <x v="1"/>
    </i>
    <i r="1">
      <x v="2"/>
    </i>
    <i r="1">
      <x v="3"/>
    </i>
    <i>
      <x v="3"/>
      <x/>
    </i>
    <i r="1">
      <x v="1"/>
    </i>
    <i r="1">
      <x v="2"/>
    </i>
    <i r="1">
      <x v="3"/>
    </i>
  </rowItems>
  <colFields count="1">
    <field x="7"/>
  </colFields>
  <colItems count="4">
    <i>
      <x/>
    </i>
    <i>
      <x v="1"/>
    </i>
    <i>
      <x v="2"/>
    </i>
    <i>
      <x v="3"/>
    </i>
  </colItems>
  <dataFields count="1">
    <dataField name="Sum of Sales" fld="11" baseField="0" baseItem="0"/>
  </dataFields>
  <chartFormats count="16">
    <chartFormat chart="18" format="33" series="1">
      <pivotArea type="data" outline="0" fieldPosition="0">
        <references count="2">
          <reference field="4294967294" count="1" selected="0">
            <x v="0"/>
          </reference>
          <reference field="7" count="1" selected="0">
            <x v="0"/>
          </reference>
        </references>
      </pivotArea>
    </chartFormat>
    <chartFormat chart="18" format="34" series="1">
      <pivotArea type="data" outline="0" fieldPosition="0">
        <references count="2">
          <reference field="4294967294" count="1" selected="0">
            <x v="0"/>
          </reference>
          <reference field="7" count="1" selected="0">
            <x v="1"/>
          </reference>
        </references>
      </pivotArea>
    </chartFormat>
    <chartFormat chart="18" format="35" series="1">
      <pivotArea type="data" outline="0" fieldPosition="0">
        <references count="2">
          <reference field="4294967294" count="1" selected="0">
            <x v="0"/>
          </reference>
          <reference field="7" count="1" selected="0">
            <x v="2"/>
          </reference>
        </references>
      </pivotArea>
    </chartFormat>
    <chartFormat chart="18" format="36" series="1">
      <pivotArea type="data" outline="0" fieldPosition="0">
        <references count="2">
          <reference field="4294967294" count="1" selected="0">
            <x v="0"/>
          </reference>
          <reference field="7" count="1" selected="0">
            <x v="3"/>
          </reference>
        </references>
      </pivotArea>
    </chartFormat>
    <chartFormat chart="18" format="37" series="1">
      <pivotArea type="data" outline="0" fieldPosition="0">
        <references count="1">
          <reference field="4294967294" count="1" selected="0">
            <x v="0"/>
          </reference>
        </references>
      </pivotArea>
    </chartFormat>
    <chartFormat chart="18" format="38">
      <pivotArea type="data" outline="0" fieldPosition="0">
        <references count="4">
          <reference field="4294967294" count="1" selected="0">
            <x v="0"/>
          </reference>
          <reference field="7" count="1" selected="0">
            <x v="0"/>
          </reference>
          <reference field="15" count="1" selected="0">
            <x v="3"/>
          </reference>
          <reference field="16" count="1" selected="0">
            <x v="2"/>
          </reference>
        </references>
      </pivotArea>
    </chartFormat>
    <chartFormat chart="20" format="44" series="1">
      <pivotArea type="data" outline="0" fieldPosition="0">
        <references count="2">
          <reference field="4294967294" count="1" selected="0">
            <x v="0"/>
          </reference>
          <reference field="7" count="1" selected="0">
            <x v="0"/>
          </reference>
        </references>
      </pivotArea>
    </chartFormat>
    <chartFormat chart="20" format="45">
      <pivotArea type="data" outline="0" fieldPosition="0">
        <references count="4">
          <reference field="4294967294" count="1" selected="0">
            <x v="0"/>
          </reference>
          <reference field="7" count="1" selected="0">
            <x v="0"/>
          </reference>
          <reference field="15" count="1" selected="0">
            <x v="3"/>
          </reference>
          <reference field="16" count="1" selected="0">
            <x v="2"/>
          </reference>
        </references>
      </pivotArea>
    </chartFormat>
    <chartFormat chart="20" format="46" series="1">
      <pivotArea type="data" outline="0" fieldPosition="0">
        <references count="2">
          <reference field="4294967294" count="1" selected="0">
            <x v="0"/>
          </reference>
          <reference field="7" count="1" selected="0">
            <x v="1"/>
          </reference>
        </references>
      </pivotArea>
    </chartFormat>
    <chartFormat chart="20" format="47" series="1">
      <pivotArea type="data" outline="0" fieldPosition="0">
        <references count="2">
          <reference field="4294967294" count="1" selected="0">
            <x v="0"/>
          </reference>
          <reference field="7" count="1" selected="0">
            <x v="2"/>
          </reference>
        </references>
      </pivotArea>
    </chartFormat>
    <chartFormat chart="20" format="48" series="1">
      <pivotArea type="data" outline="0" fieldPosition="0">
        <references count="2">
          <reference field="4294967294" count="1" selected="0">
            <x v="0"/>
          </reference>
          <reference field="7" count="1" selected="0">
            <x v="3"/>
          </reference>
        </references>
      </pivotArea>
    </chartFormat>
    <chartFormat chart="20" format="49" series="1">
      <pivotArea type="data" outline="0" fieldPosition="0">
        <references count="1">
          <reference field="4294967294" count="1" selected="0">
            <x v="0"/>
          </reference>
        </references>
      </pivotArea>
    </chartFormat>
    <chartFormat chart="20" format="50">
      <pivotArea type="data" outline="0" fieldPosition="0">
        <references count="3">
          <reference field="4294967294" count="1" selected="0">
            <x v="0"/>
          </reference>
          <reference field="15" count="1" selected="0">
            <x v="3"/>
          </reference>
          <reference field="16" count="1" selected="0">
            <x v="2"/>
          </reference>
        </references>
      </pivotArea>
    </chartFormat>
    <chartFormat chart="20" format="51">
      <pivotArea type="data" outline="0" fieldPosition="0">
        <references count="4">
          <reference field="4294967294" count="1" selected="0">
            <x v="0"/>
          </reference>
          <reference field="7" count="1" selected="0">
            <x v="1"/>
          </reference>
          <reference field="15" count="1" selected="0">
            <x v="3"/>
          </reference>
          <reference field="16" count="1" selected="0">
            <x v="2"/>
          </reference>
        </references>
      </pivotArea>
    </chartFormat>
    <chartFormat chart="20" format="52">
      <pivotArea type="data" outline="0" fieldPosition="0">
        <references count="4">
          <reference field="4294967294" count="1" selected="0">
            <x v="0"/>
          </reference>
          <reference field="7" count="1" selected="0">
            <x v="2"/>
          </reference>
          <reference field="15" count="1" selected="0">
            <x v="3"/>
          </reference>
          <reference field="16" count="1" selected="0">
            <x v="2"/>
          </reference>
        </references>
      </pivotArea>
    </chartFormat>
    <chartFormat chart="20" format="53">
      <pivotArea type="data" outline="0" fieldPosition="0">
        <references count="4">
          <reference field="4294967294" count="1" selected="0">
            <x v="0"/>
          </reference>
          <reference field="7" count="1" selected="0">
            <x v="3"/>
          </reference>
          <reference field="15" count="1" selected="0">
            <x v="3"/>
          </reference>
          <reference field="16" count="1" selected="0">
            <x v="2"/>
          </reference>
        </references>
      </pivotArea>
    </chartFormat>
  </chart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001378-D336-456B-BA77-A272CA0418B7}" name="PivotTable7"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location ref="T4:U44" firstHeaderRow="1" firstDataRow="1" firstDataCol="1"/>
  <pivotFields count="18">
    <pivotField compact="0" outline="0" showAll="0" defaultSubtotal="0"/>
    <pivotField dataField="1"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axis="axisRow"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Fields count="1">
    <field x="6"/>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name="Count of Order ID" fld="1" subtotal="count" baseField="0" baseItem="0"/>
  </dataField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311CE9-CBBC-40B4-8B26-38313C15ED34}" name="PivotTable5"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7">
  <location ref="BB12:BC17" firstHeaderRow="1" firstDataRow="1" firstDataCol="1"/>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axis="axisRow" compact="0" outline="0" showAll="0" measureFilter="1" sortType="descending" defaultSubtotal="0">
      <items count="362">
        <item x="144"/>
        <item x="340"/>
        <item x="216"/>
        <item x="269"/>
        <item x="57"/>
        <item x="124"/>
        <item x="117"/>
        <item x="127"/>
        <item x="238"/>
        <item x="8"/>
        <item x="155"/>
        <item x="87"/>
        <item x="211"/>
        <item x="153"/>
        <item x="141"/>
        <item x="4"/>
        <item x="122"/>
        <item x="239"/>
        <item x="132"/>
        <item x="357"/>
        <item x="165"/>
        <item x="247"/>
        <item x="326"/>
        <item x="321"/>
        <item x="295"/>
        <item x="255"/>
        <item x="314"/>
        <item x="151"/>
        <item x="275"/>
        <item x="219"/>
        <item x="195"/>
        <item x="121"/>
        <item x="292"/>
        <item x="162"/>
        <item x="308"/>
        <item x="78"/>
        <item x="130"/>
        <item x="296"/>
        <item x="318"/>
        <item x="217"/>
        <item x="336"/>
        <item x="272"/>
        <item x="214"/>
        <item x="202"/>
        <item x="179"/>
        <item x="29"/>
        <item x="205"/>
        <item x="312"/>
        <item x="3"/>
        <item x="232"/>
        <item x="94"/>
        <item x="298"/>
        <item x="354"/>
        <item x="194"/>
        <item x="303"/>
        <item x="229"/>
        <item x="263"/>
        <item x="170"/>
        <item x="90"/>
        <item x="344"/>
        <item x="79"/>
        <item x="230"/>
        <item x="237"/>
        <item x="294"/>
        <item x="244"/>
        <item x="119"/>
        <item x="278"/>
        <item x="291"/>
        <item x="200"/>
        <item x="37"/>
        <item x="254"/>
        <item x="320"/>
        <item x="0"/>
        <item x="118"/>
        <item x="142"/>
        <item x="52"/>
        <item x="242"/>
        <item x="128"/>
        <item x="113"/>
        <item x="257"/>
        <item x="316"/>
        <item x="222"/>
        <item x="51"/>
        <item x="297"/>
        <item x="112"/>
        <item x="351"/>
        <item x="213"/>
        <item x="24"/>
        <item x="284"/>
        <item x="1"/>
        <item x="72"/>
        <item x="54"/>
        <item x="317"/>
        <item x="106"/>
        <item x="83"/>
        <item x="273"/>
        <item x="103"/>
        <item x="203"/>
        <item x="158"/>
        <item x="290"/>
        <item x="111"/>
        <item x="249"/>
        <item x="157"/>
        <item x="231"/>
        <item x="108"/>
        <item x="137"/>
        <item x="61"/>
        <item x="114"/>
        <item x="140"/>
        <item x="264"/>
        <item x="35"/>
        <item x="182"/>
        <item x="330"/>
        <item x="225"/>
        <item x="45"/>
        <item x="12"/>
        <item x="283"/>
        <item x="212"/>
        <item x="13"/>
        <item x="75"/>
        <item x="301"/>
        <item x="105"/>
        <item x="191"/>
        <item x="20"/>
        <item x="313"/>
        <item x="258"/>
        <item x="135"/>
        <item x="86"/>
        <item x="224"/>
        <item x="92"/>
        <item x="248"/>
        <item x="306"/>
        <item x="39"/>
        <item x="47"/>
        <item x="16"/>
        <item x="334"/>
        <item x="241"/>
        <item x="136"/>
        <item x="265"/>
        <item x="55"/>
        <item x="348"/>
        <item x="218"/>
        <item x="315"/>
        <item x="323"/>
        <item x="150"/>
        <item x="6"/>
        <item x="96"/>
        <item x="66"/>
        <item x="304"/>
        <item x="31"/>
        <item x="332"/>
        <item x="5"/>
        <item x="161"/>
        <item x="311"/>
        <item x="49"/>
        <item x="25"/>
        <item x="123"/>
        <item x="209"/>
        <item x="282"/>
        <item x="271"/>
        <item x="80"/>
        <item x="226"/>
        <item x="188"/>
        <item x="223"/>
        <item x="145"/>
        <item x="187"/>
        <item x="341"/>
        <item x="270"/>
        <item x="329"/>
        <item x="82"/>
        <item x="40"/>
        <item x="300"/>
        <item x="32"/>
        <item x="342"/>
        <item x="189"/>
        <item x="252"/>
        <item x="139"/>
        <item x="63"/>
        <item x="101"/>
        <item x="102"/>
        <item x="185"/>
        <item x="350"/>
        <item x="98"/>
        <item x="148"/>
        <item x="36"/>
        <item x="251"/>
        <item x="68"/>
        <item x="335"/>
        <item x="208"/>
        <item x="346"/>
        <item x="30"/>
        <item x="41"/>
        <item x="44"/>
        <item x="347"/>
        <item x="147"/>
        <item x="168"/>
        <item x="110"/>
        <item x="126"/>
        <item x="10"/>
        <item x="33"/>
        <item x="175"/>
        <item x="107"/>
        <item x="169"/>
        <item x="120"/>
        <item x="27"/>
        <item x="156"/>
        <item x="97"/>
        <item x="328"/>
        <item x="48"/>
        <item x="62"/>
        <item x="23"/>
        <item x="235"/>
        <item x="18"/>
        <item x="322"/>
        <item x="60"/>
        <item x="352"/>
        <item x="293"/>
        <item x="215"/>
        <item x="221"/>
        <item x="299"/>
        <item x="95"/>
        <item x="109"/>
        <item x="166"/>
        <item x="201"/>
        <item x="93"/>
        <item x="198"/>
        <item x="333"/>
        <item x="199"/>
        <item x="88"/>
        <item x="89"/>
        <item x="280"/>
        <item x="15"/>
        <item x="204"/>
        <item x="67"/>
        <item x="250"/>
        <item x="77"/>
        <item x="186"/>
        <item x="246"/>
        <item x="234"/>
        <item x="266"/>
        <item x="149"/>
        <item x="172"/>
        <item x="99"/>
        <item x="192"/>
        <item x="305"/>
        <item x="207"/>
        <item x="177"/>
        <item x="160"/>
        <item x="360"/>
        <item x="152"/>
        <item x="268"/>
        <item x="243"/>
        <item x="173"/>
        <item x="159"/>
        <item x="134"/>
        <item x="71"/>
        <item x="125"/>
        <item x="240"/>
        <item x="73"/>
        <item x="21"/>
        <item x="220"/>
        <item x="331"/>
        <item x="43"/>
        <item x="206"/>
        <item x="310"/>
        <item x="138"/>
        <item x="22"/>
        <item x="38"/>
        <item x="324"/>
        <item x="28"/>
        <item x="307"/>
        <item x="50"/>
        <item x="7"/>
        <item x="287"/>
        <item x="327"/>
        <item x="171"/>
        <item x="58"/>
        <item x="178"/>
        <item x="285"/>
        <item x="345"/>
        <item x="267"/>
        <item x="343"/>
        <item x="181"/>
        <item x="261"/>
        <item x="46"/>
        <item x="302"/>
        <item x="262"/>
        <item x="361"/>
        <item x="210"/>
        <item x="338"/>
        <item x="84"/>
        <item x="355"/>
        <item x="42"/>
        <item x="288"/>
        <item x="276"/>
        <item x="197"/>
        <item x="176"/>
        <item x="279"/>
        <item x="116"/>
        <item x="167"/>
        <item x="19"/>
        <item x="76"/>
        <item x="154"/>
        <item x="53"/>
        <item x="64"/>
        <item x="85"/>
        <item x="325"/>
        <item x="337"/>
        <item x="11"/>
        <item x="65"/>
        <item x="183"/>
        <item x="339"/>
        <item x="319"/>
        <item x="164"/>
        <item x="359"/>
        <item x="227"/>
        <item x="349"/>
        <item x="115"/>
        <item x="253"/>
        <item x="2"/>
        <item x="277"/>
        <item x="129"/>
        <item x="174"/>
        <item x="81"/>
        <item x="259"/>
        <item x="196"/>
        <item x="70"/>
        <item x="281"/>
        <item x="17"/>
        <item x="56"/>
        <item x="256"/>
        <item x="34"/>
        <item x="193"/>
        <item x="133"/>
        <item x="286"/>
        <item x="245"/>
        <item x="143"/>
        <item x="69"/>
        <item x="184"/>
        <item x="26"/>
        <item x="74"/>
        <item x="236"/>
        <item x="353"/>
        <item x="131"/>
        <item x="260"/>
        <item x="309"/>
        <item x="358"/>
        <item x="14"/>
        <item x="274"/>
        <item x="356"/>
        <item x="180"/>
        <item x="59"/>
        <item x="228"/>
        <item x="104"/>
        <item x="91"/>
        <item x="163"/>
        <item x="146"/>
        <item x="100"/>
        <item x="190"/>
        <item x="289"/>
        <item x="233"/>
        <item x="9"/>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Fields count="1">
    <field x="4"/>
  </rowFields>
  <rowItems count="5">
    <i>
      <x v="35"/>
    </i>
    <i>
      <x v="138"/>
    </i>
    <i>
      <x v="68"/>
    </i>
    <i>
      <x v="317"/>
    </i>
    <i>
      <x v="254"/>
    </i>
  </rowItems>
  <colItems count="1">
    <i/>
  </colItems>
  <dataFields count="1">
    <dataField name="Sum of Sales" fld="11" baseField="0" baseItem="0" numFmtId="164"/>
  </dataFields>
  <formats count="1">
    <format dxfId="21">
      <pivotArea outline="0" collapsedLevelsAreSubtotals="1" fieldPosition="0"/>
    </format>
  </formats>
  <chartFormats count="9">
    <chartFormat chart="25" format="40" series="1">
      <pivotArea type="data" outline="0" fieldPosition="0">
        <references count="1">
          <reference field="4294967294" count="1" selected="0">
            <x v="0"/>
          </reference>
        </references>
      </pivotArea>
    </chartFormat>
    <chartFormat chart="27" format="50" series="1">
      <pivotArea type="data" outline="0" fieldPosition="0">
        <references count="1">
          <reference field="4294967294" count="1" selected="0">
            <x v="0"/>
          </reference>
        </references>
      </pivotArea>
    </chartFormat>
    <chartFormat chart="29" format="50" series="1">
      <pivotArea type="data" outline="0" fieldPosition="0">
        <references count="1">
          <reference field="4294967294" count="1" selected="0">
            <x v="0"/>
          </reference>
        </references>
      </pivotArea>
    </chartFormat>
    <chartFormat chart="29" format="55">
      <pivotArea type="data" outline="0" fieldPosition="0">
        <references count="1">
          <reference field="4294967294" count="1" selected="0">
            <x v="0"/>
          </reference>
        </references>
      </pivotArea>
    </chartFormat>
    <chartFormat chart="27" format="55">
      <pivotArea type="data" outline="0" fieldPosition="0">
        <references count="1">
          <reference field="4294967294" count="1" selected="0">
            <x v="0"/>
          </reference>
        </references>
      </pivotArea>
    </chartFormat>
    <chartFormat chart="31" format="6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2">
    <filter fld="2" type="dateBetween" evalOrder="-1" id="79"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 fld="4" type="count" evalOrder="-1" id="7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3F6318-6167-4D68-A24E-024720AD9B66}" name="PivotTable3"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2">
  <location ref="AX7:AZ24"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formats count="1">
    <format dxfId="22">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44FB5B-7B2B-4EF3-8EC1-BEAF879050CF}" name="PivotTable11"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O9:AQ26"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formats count="1">
    <format dxfId="23">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C21CC0-A4BD-4E95-B6BE-228DC5629BD1}" name="PivotTable13"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R7:AR8" firstHeaderRow="1" firstDataRow="1" firstDataCol="0"/>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dataField="1" compact="0" outline="0" subtotalTop="0" dragToRow="0" dragToCol="0" dragToPage="0" showAll="0" defaultSubtotal="0"/>
  </pivotFields>
  <rowItems count="1">
    <i/>
  </rowItems>
  <colItems count="1">
    <i/>
  </colItems>
  <dataFields count="1">
    <dataField name="Sum of Margin" fld="17" baseField="0" baseItem="0" numFmtId="9"/>
  </dataFields>
  <formats count="1">
    <format dxfId="24">
      <pivotArea outline="0" collapsedLevelsAreSubtotals="1" fieldPosition="0"/>
    </format>
  </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C41BD56-9B0F-49E7-A947-40963300A700}" name="PivotTable9"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2">
  <location ref="AG4:AH8" firstHeaderRow="1" firstDataRow="1" firstDataCol="1"/>
  <pivotFields count="18">
    <pivotField compact="0" outline="0" showAll="0" defaultSubtotal="0"/>
    <pivotField compact="0" outline="0" showAll="0" defaultSubtotal="0"/>
    <pivotField compact="0" numFmtId="14" outline="0" showAll="0" defaultSubtotal="0">
      <items count="373">
        <item x="277"/>
        <item x="232"/>
        <item x="320"/>
        <item x="269"/>
        <item x="286"/>
        <item x="360"/>
        <item x="215"/>
        <item x="315"/>
        <item x="181"/>
        <item x="72"/>
        <item x="223"/>
        <item x="234"/>
        <item x="90"/>
        <item x="267"/>
        <item x="322"/>
        <item x="138"/>
        <item x="164"/>
        <item x="333"/>
        <item x="309"/>
        <item x="218"/>
        <item x="8"/>
        <item x="287"/>
        <item x="371"/>
        <item x="235"/>
        <item x="279"/>
        <item x="106"/>
        <item x="270"/>
        <item x="159"/>
        <item x="3"/>
        <item x="345"/>
        <item x="261"/>
        <item x="169"/>
        <item x="307"/>
        <item x="290"/>
        <item x="268"/>
        <item x="260"/>
        <item x="136"/>
        <item x="192"/>
        <item x="149"/>
        <item x="93"/>
        <item x="79"/>
        <item x="233"/>
        <item x="128"/>
        <item x="55"/>
        <item x="86"/>
        <item x="9"/>
        <item x="78"/>
        <item x="340"/>
        <item x="171"/>
        <item x="103"/>
        <item x="80"/>
        <item x="328"/>
        <item x="111"/>
        <item x="59"/>
        <item x="158"/>
        <item x="358"/>
        <item x="146"/>
        <item x="127"/>
        <item x="191"/>
        <item x="273"/>
        <item x="36"/>
        <item x="303"/>
        <item x="22"/>
        <item x="68"/>
        <item x="194"/>
        <item x="301"/>
        <item x="130"/>
        <item x="187"/>
        <item x="7"/>
        <item x="84"/>
        <item x="156"/>
        <item x="35"/>
        <item x="266"/>
        <item x="29"/>
        <item x="337"/>
        <item x="325"/>
        <item x="174"/>
        <item x="163"/>
        <item x="58"/>
        <item x="129"/>
        <item x="282"/>
        <item x="125"/>
        <item x="98"/>
        <item x="184"/>
        <item x="43"/>
        <item x="302"/>
        <item x="285"/>
        <item x="97"/>
        <item x="102"/>
        <item x="56"/>
        <item x="366"/>
        <item x="199"/>
        <item x="305"/>
        <item x="204"/>
        <item x="262"/>
        <item x="368"/>
        <item x="57"/>
        <item x="265"/>
        <item x="347"/>
        <item x="24"/>
        <item x="334"/>
        <item x="33"/>
        <item x="152"/>
        <item x="28"/>
        <item x="124"/>
        <item x="263"/>
        <item x="293"/>
        <item x="71"/>
        <item x="352"/>
        <item x="70"/>
        <item x="137"/>
        <item x="153"/>
        <item x="230"/>
        <item x="353"/>
        <item x="117"/>
        <item x="101"/>
        <item x="291"/>
        <item x="252"/>
        <item x="284"/>
        <item x="135"/>
        <item x="37"/>
        <item x="67"/>
        <item x="229"/>
        <item x="14"/>
        <item x="227"/>
        <item x="357"/>
        <item x="12"/>
        <item x="120"/>
        <item x="292"/>
        <item x="242"/>
        <item x="348"/>
        <item x="330"/>
        <item x="2"/>
        <item x="88"/>
        <item x="313"/>
        <item x="52"/>
        <item x="324"/>
        <item x="372"/>
        <item x="89"/>
        <item x="121"/>
        <item x="209"/>
        <item x="113"/>
        <item x="50"/>
        <item x="219"/>
        <item x="312"/>
        <item x="82"/>
        <item x="6"/>
        <item x="27"/>
        <item x="154"/>
        <item x="109"/>
        <item x="239"/>
        <item x="155"/>
        <item x="214"/>
        <item x="364"/>
        <item x="295"/>
        <item x="350"/>
        <item x="83"/>
        <item x="217"/>
        <item x="139"/>
        <item x="100"/>
        <item x="207"/>
        <item x="17"/>
        <item x="75"/>
        <item x="319"/>
        <item x="13"/>
        <item x="327"/>
        <item x="115"/>
        <item x="271"/>
        <item x="317"/>
        <item x="346"/>
        <item x="311"/>
        <item x="21"/>
        <item x="299"/>
        <item x="69"/>
        <item x="196"/>
        <item x="231"/>
        <item x="253"/>
        <item x="178"/>
        <item x="41"/>
        <item x="281"/>
        <item x="143"/>
        <item x="342"/>
        <item x="167"/>
        <item x="173"/>
        <item x="183"/>
        <item x="131"/>
        <item x="134"/>
        <item x="236"/>
        <item x="195"/>
        <item x="74"/>
        <item x="288"/>
        <item x="244"/>
        <item x="206"/>
        <item x="316"/>
        <item x="211"/>
        <item x="198"/>
        <item x="30"/>
        <item x="112"/>
        <item x="224"/>
        <item x="1"/>
        <item x="26"/>
        <item x="351"/>
        <item x="23"/>
        <item x="190"/>
        <item x="274"/>
        <item x="212"/>
        <item x="188"/>
        <item x="216"/>
        <item x="87"/>
        <item x="19"/>
        <item x="310"/>
        <item x="197"/>
        <item x="243"/>
        <item x="298"/>
        <item x="250"/>
        <item x="370"/>
        <item x="278"/>
        <item x="48"/>
        <item x="133"/>
        <item x="142"/>
        <item x="323"/>
        <item x="64"/>
        <item x="47"/>
        <item x="162"/>
        <item x="369"/>
        <item x="108"/>
        <item x="126"/>
        <item x="306"/>
        <item x="42"/>
        <item x="31"/>
        <item x="251"/>
        <item x="182"/>
        <item x="150"/>
        <item x="321"/>
        <item x="339"/>
        <item x="63"/>
        <item x="201"/>
        <item x="147"/>
        <item x="332"/>
        <item x="248"/>
        <item x="189"/>
        <item x="99"/>
        <item x="54"/>
        <item x="254"/>
        <item x="61"/>
        <item x="77"/>
        <item x="0"/>
        <item x="338"/>
        <item x="76"/>
        <item x="258"/>
        <item x="73"/>
        <item x="85"/>
        <item x="49"/>
        <item x="275"/>
        <item x="5"/>
        <item x="16"/>
        <item x="10"/>
        <item x="107"/>
        <item x="25"/>
        <item x="180"/>
        <item x="272"/>
        <item x="186"/>
        <item x="122"/>
        <item x="314"/>
        <item x="363"/>
        <item x="176"/>
        <item x="276"/>
        <item x="203"/>
        <item x="205"/>
        <item x="289"/>
        <item x="62"/>
        <item x="297"/>
        <item x="168"/>
        <item x="144"/>
        <item x="294"/>
        <item x="257"/>
        <item x="177"/>
        <item x="185"/>
        <item x="355"/>
        <item x="104"/>
        <item x="359"/>
        <item x="318"/>
        <item x="349"/>
        <item x="4"/>
        <item x="81"/>
        <item x="300"/>
        <item x="304"/>
        <item x="356"/>
        <item x="240"/>
        <item x="367"/>
        <item x="39"/>
        <item x="148"/>
        <item x="95"/>
        <item x="110"/>
        <item x="255"/>
        <item x="193"/>
        <item x="140"/>
        <item x="114"/>
        <item x="46"/>
        <item x="249"/>
        <item x="308"/>
        <item x="92"/>
        <item x="335"/>
        <item x="222"/>
        <item x="160"/>
        <item x="91"/>
        <item x="141"/>
        <item x="362"/>
        <item x="11"/>
        <item x="228"/>
        <item x="246"/>
        <item x="283"/>
        <item x="245"/>
        <item x="238"/>
        <item x="170"/>
        <item x="326"/>
        <item x="151"/>
        <item x="264"/>
        <item x="213"/>
        <item x="210"/>
        <item x="18"/>
        <item x="220"/>
        <item x="32"/>
        <item x="175"/>
        <item x="118"/>
        <item x="65"/>
        <item x="20"/>
        <item x="296"/>
        <item x="241"/>
        <item x="145"/>
        <item x="365"/>
        <item x="172"/>
        <item x="280"/>
        <item x="361"/>
        <item x="119"/>
        <item x="336"/>
        <item x="161"/>
        <item x="15"/>
        <item x="179"/>
        <item x="208"/>
        <item x="40"/>
        <item x="341"/>
        <item x="132"/>
        <item x="259"/>
        <item x="60"/>
        <item x="44"/>
        <item x="45"/>
        <item x="343"/>
        <item x="105"/>
        <item x="38"/>
        <item x="237"/>
        <item x="123"/>
        <item x="225"/>
        <item x="51"/>
        <item x="221"/>
        <item x="200"/>
        <item x="344"/>
        <item x="354"/>
        <item x="329"/>
        <item x="96"/>
        <item x="256"/>
        <item x="226"/>
        <item x="166"/>
        <item x="34"/>
        <item x="157"/>
        <item x="94"/>
        <item x="202"/>
        <item x="66"/>
        <item x="331"/>
        <item x="165"/>
        <item x="53"/>
        <item x="116"/>
        <item x="247"/>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axis="axisRow" compact="0" outline="0" showAll="0" defaultSubtotal="0">
      <items count="4">
        <item x="2"/>
        <item x="3"/>
        <item x="0"/>
        <item x="1"/>
      </items>
    </pivotField>
    <pivotField compact="0" outline="0" showAll="0" defaultSubtotal="0">
      <items count="3">
        <item x="0"/>
        <item x="1"/>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1"/>
        <item x="2"/>
        <item x="3"/>
        <item x="4"/>
        <item x="0"/>
        <item x="5"/>
      </items>
    </pivotField>
    <pivotField compact="0" outline="0" subtotalTop="0" showAll="0" defaultSubtotal="0">
      <items count="6">
        <item x="1"/>
        <item x="2"/>
        <item x="3"/>
        <item x="4"/>
        <item x="0"/>
        <item x="5"/>
      </items>
    </pivotField>
    <pivotField compact="0" outline="0" subtotalTop="0" dragToRow="0" dragToCol="0" dragToPage="0" showAll="0" defaultSubtotal="0"/>
  </pivotFields>
  <rowFields count="1">
    <field x="7"/>
  </rowFields>
  <rowItems count="4">
    <i>
      <x/>
    </i>
    <i>
      <x v="1"/>
    </i>
    <i>
      <x v="2"/>
    </i>
    <i>
      <x v="3"/>
    </i>
  </rowItems>
  <colItems count="1">
    <i/>
  </colItems>
  <dataFields count="1">
    <dataField name="Sum of Sales" fld="11" baseField="0" baseItem="0" numFmtId="164"/>
  </dataFields>
  <formats count="1">
    <format dxfId="25">
      <pivotArea outline="0" collapsedLevelsAreSubtotals="1" fieldPosition="0"/>
    </format>
  </formats>
  <chartFormats count="22">
    <chartFormat chart="25" format="40" series="1">
      <pivotArea type="data" outline="0" fieldPosition="0">
        <references count="1">
          <reference field="4294967294" count="1" selected="0">
            <x v="0"/>
          </reference>
        </references>
      </pivotArea>
    </chartFormat>
    <chartFormat chart="25" format="41">
      <pivotArea type="data" outline="0" fieldPosition="0">
        <references count="2">
          <reference field="4294967294" count="1" selected="0">
            <x v="0"/>
          </reference>
          <reference field="7" count="1" selected="0">
            <x v="0"/>
          </reference>
        </references>
      </pivotArea>
    </chartFormat>
    <chartFormat chart="25" format="42">
      <pivotArea type="data" outline="0" fieldPosition="0">
        <references count="2">
          <reference field="4294967294" count="1" selected="0">
            <x v="0"/>
          </reference>
          <reference field="7" count="1" selected="0">
            <x v="1"/>
          </reference>
        </references>
      </pivotArea>
    </chartFormat>
    <chartFormat chart="25" format="43">
      <pivotArea type="data" outline="0" fieldPosition="0">
        <references count="2">
          <reference field="4294967294" count="1" selected="0">
            <x v="0"/>
          </reference>
          <reference field="7" count="1" selected="0">
            <x v="2"/>
          </reference>
        </references>
      </pivotArea>
    </chartFormat>
    <chartFormat chart="25" format="44">
      <pivotArea type="data" outline="0" fieldPosition="0">
        <references count="2">
          <reference field="4294967294" count="1" selected="0">
            <x v="0"/>
          </reference>
          <reference field="7" count="1" selected="0">
            <x v="3"/>
          </reference>
        </references>
      </pivotArea>
    </chartFormat>
    <chartFormat chart="27" format="50" series="1">
      <pivotArea type="data" outline="0" fieldPosition="0">
        <references count="1">
          <reference field="4294967294" count="1" selected="0">
            <x v="0"/>
          </reference>
        </references>
      </pivotArea>
    </chartFormat>
    <chartFormat chart="27" format="51">
      <pivotArea type="data" outline="0" fieldPosition="0">
        <references count="2">
          <reference field="4294967294" count="1" selected="0">
            <x v="0"/>
          </reference>
          <reference field="7" count="1" selected="0">
            <x v="0"/>
          </reference>
        </references>
      </pivotArea>
    </chartFormat>
    <chartFormat chart="27" format="52">
      <pivotArea type="data" outline="0" fieldPosition="0">
        <references count="2">
          <reference field="4294967294" count="1" selected="0">
            <x v="0"/>
          </reference>
          <reference field="7" count="1" selected="0">
            <x v="1"/>
          </reference>
        </references>
      </pivotArea>
    </chartFormat>
    <chartFormat chart="27" format="53">
      <pivotArea type="data" outline="0" fieldPosition="0">
        <references count="2">
          <reference field="4294967294" count="1" selected="0">
            <x v="0"/>
          </reference>
          <reference field="7" count="1" selected="0">
            <x v="2"/>
          </reference>
        </references>
      </pivotArea>
    </chartFormat>
    <chartFormat chart="27" format="54">
      <pivotArea type="data" outline="0" fieldPosition="0">
        <references count="2">
          <reference field="4294967294" count="1" selected="0">
            <x v="0"/>
          </reference>
          <reference field="7" count="1" selected="0">
            <x v="3"/>
          </reference>
        </references>
      </pivotArea>
    </chartFormat>
    <chartFormat chart="29" format="50" series="1">
      <pivotArea type="data" outline="0" fieldPosition="0">
        <references count="1">
          <reference field="4294967294" count="1" selected="0">
            <x v="0"/>
          </reference>
        </references>
      </pivotArea>
    </chartFormat>
    <chartFormat chart="29" format="51">
      <pivotArea type="data" outline="0" fieldPosition="0">
        <references count="2">
          <reference field="4294967294" count="1" selected="0">
            <x v="0"/>
          </reference>
          <reference field="7" count="1" selected="0">
            <x v="0"/>
          </reference>
        </references>
      </pivotArea>
    </chartFormat>
    <chartFormat chart="29" format="52">
      <pivotArea type="data" outline="0" fieldPosition="0">
        <references count="2">
          <reference field="4294967294" count="1" selected="0">
            <x v="0"/>
          </reference>
          <reference field="7" count="1" selected="0">
            <x v="1"/>
          </reference>
        </references>
      </pivotArea>
    </chartFormat>
    <chartFormat chart="29" format="53">
      <pivotArea type="data" outline="0" fieldPosition="0">
        <references count="2">
          <reference field="4294967294" count="1" selected="0">
            <x v="0"/>
          </reference>
          <reference field="7" count="1" selected="0">
            <x v="2"/>
          </reference>
        </references>
      </pivotArea>
    </chartFormat>
    <chartFormat chart="29" format="54">
      <pivotArea type="data" outline="0" fieldPosition="0">
        <references count="2">
          <reference field="4294967294" count="1" selected="0">
            <x v="0"/>
          </reference>
          <reference field="7" count="1" selected="0">
            <x v="3"/>
          </reference>
        </references>
      </pivotArea>
    </chartFormat>
    <chartFormat chart="29" format="55">
      <pivotArea type="data" outline="0" fieldPosition="0">
        <references count="1">
          <reference field="4294967294" count="1" selected="0">
            <x v="0"/>
          </reference>
        </references>
      </pivotArea>
    </chartFormat>
    <chartFormat chart="27" format="55">
      <pivotArea type="data" outline="0" fieldPosition="0">
        <references count="1">
          <reference field="4294967294" count="1" selected="0">
            <x v="0"/>
          </reference>
        </references>
      </pivotArea>
    </chartFormat>
    <chartFormat chart="31" format="61" series="1">
      <pivotArea type="data" outline="0" fieldPosition="0">
        <references count="1">
          <reference field="4294967294" count="1" selected="0">
            <x v="0"/>
          </reference>
        </references>
      </pivotArea>
    </chartFormat>
    <chartFormat chart="31" format="62">
      <pivotArea type="data" outline="0" fieldPosition="0">
        <references count="2">
          <reference field="4294967294" count="1" selected="0">
            <x v="0"/>
          </reference>
          <reference field="7" count="1" selected="0">
            <x v="0"/>
          </reference>
        </references>
      </pivotArea>
    </chartFormat>
    <chartFormat chart="31" format="63">
      <pivotArea type="data" outline="0" fieldPosition="0">
        <references count="2">
          <reference field="4294967294" count="1" selected="0">
            <x v="0"/>
          </reference>
          <reference field="7" count="1" selected="0">
            <x v="1"/>
          </reference>
        </references>
      </pivotArea>
    </chartFormat>
    <chartFormat chart="31" format="64">
      <pivotArea type="data" outline="0" fieldPosition="0">
        <references count="2">
          <reference field="4294967294" count="1" selected="0">
            <x v="0"/>
          </reference>
          <reference field="7" count="1" selected="0">
            <x v="2"/>
          </reference>
        </references>
      </pivotArea>
    </chartFormat>
    <chartFormat chart="31" format="65">
      <pivotArea type="data" outline="0" fieldPosition="0">
        <references count="2">
          <reference field="4294967294" count="1" selected="0">
            <x v="0"/>
          </reference>
          <reference field="7" count="1" selected="0">
            <x v="3"/>
          </reference>
        </references>
      </pivotArea>
    </chartFormat>
  </chartFormats>
  <pivotTableStyleInfo name="PivotStyleMedium20" showRowHeaders="1" showColHeaders="1" showRowStripes="0" showColStripes="0" showLastColumn="1"/>
  <filters count="1">
    <filter fld="2" type="dateBetween" evalOrder="-1" id="78"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25B9DC6-F571-4684-885D-D67F7C04AAD8}" sourceName="Ship Mode">
  <pivotTables>
    <pivotTable tabId="4" name="PivotTable2"/>
    <pivotTable tabId="4" name="PivotTable4"/>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 tabId="4" name="PivotTable16"/>
    <pivotTable tabId="4" name="PivotTable3"/>
    <pivotTable tabId="4" name="PivotTable5"/>
  </pivotTables>
  <data>
    <tabular pivotCacheId="126440975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F59B79-97E9-4D23-B27E-3207FF5F23CD}" sourceName="Region">
  <pivotTables>
    <pivotTable tabId="4" name="PivotTable2"/>
    <pivotTable tabId="4" name="PivotTable4"/>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 tabId="4" name="PivotTable16"/>
    <pivotTable tabId="4" name="PivotTable3"/>
    <pivotTable tabId="4" name="PivotTable5"/>
  </pivotTables>
  <data>
    <tabular pivotCacheId="126440975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AED29C-3D21-450E-8B00-E616AA7561FD}" sourceName="Category">
  <pivotTables>
    <pivotTable tabId="4" name="PivotTable2"/>
    <pivotTable tabId="4" name="PivotTable4"/>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 tabId="4" name="PivotTable16"/>
    <pivotTable tabId="4" name="PivotTable3"/>
    <pivotTable tabId="4" name="PivotTable5"/>
  </pivotTables>
  <data>
    <tabular pivotCacheId="12644097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3" xr10:uid="{025551D0-E41E-4016-90C4-74D1BC9C2675}" cache="Slicer_Ship_Mode" caption="Ship Mode" style="SlicerStyleDark1" rowHeight="225425"/>
  <slicer name="Region 3" xr10:uid="{12447FB4-9491-47CD-993A-9C7B02DAB68C}" cache="Slicer_Region" caption="Region" style="SlicerStyleDark1" rowHeight="225425"/>
  <slicer name="Category 3" xr10:uid="{5BED1D01-8E45-4D28-8F8A-6C9DE2DC182D}" cache="Slicer_Category" caption="Category" style="SlicerStyleDark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4" xr10:uid="{2FBEE9DB-5A45-4DE5-8A69-B7D0700C930B}" cache="Slicer_Ship_Mode" caption="Ship Mode" style="SlicerStyleDark1" rowHeight="225425"/>
  <slicer name="Category 4" xr10:uid="{1A991A58-B3BA-4057-8946-5731434079F0}" cache="Slicer_Category" caption="Category" style="SlicerStyleDark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5" xr10:uid="{BA71D972-B651-4033-80BC-E4C4B27EB81F}" cache="Slicer_Ship_Mode" caption="Ship Mode" style="SlicerStyleDark1" rowHeight="225425"/>
  <slicer name="Region 5" xr10:uid="{CD16BA94-A595-4E8C-B6EE-F49883DF3817}" cache="Slicer_Region" caption="Region" style="SlicerStyleDark1" rowHeight="225425"/>
  <slicer name="Category 5" xr10:uid="{889B80CE-E32B-47C1-99A1-88E25DA43633}" cache="Slicer_Category" caption="Category"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3453C6-B3EF-45EF-A25F-304E48C42BFB}" name="orderds" displayName="orderds" ref="A1:O1001" totalsRowShown="0">
  <autoFilter ref="A1:O1001" xr:uid="{A03453C6-B3EF-45EF-A25F-304E48C42BFB}"/>
  <tableColumns count="15">
    <tableColumn id="1" xr3:uid="{35B289D4-2E50-40B4-92FC-D361FFFA3AB7}" name="Row ID"/>
    <tableColumn id="2" xr3:uid="{671D171F-79E7-4DA2-BCFB-8EEA7F0001DF}" name="Order ID"/>
    <tableColumn id="3" xr3:uid="{0C8AEF86-D37E-49E0-9F6E-E07ED9D1DAAD}" name="Order Date" dataDxfId="26"/>
    <tableColumn id="4" xr3:uid="{5D14D1BD-E2E6-408F-92C9-FCD5A15A43FC}" name="Ship Mode"/>
    <tableColumn id="5" xr3:uid="{3D82C149-D7E9-4E4C-A41C-7DDCF7F4C4D4}" name="Customer Name"/>
    <tableColumn id="6" xr3:uid="{2DEF029A-9EF6-46F4-A3F4-57BE3AFBD310}" name="City"/>
    <tableColumn id="7" xr3:uid="{360626CC-9244-49A2-B377-F05ED0807DEA}" name="State"/>
    <tableColumn id="8" xr3:uid="{B8741F9E-697A-42FA-9752-E95BB42779F4}" name="Region"/>
    <tableColumn id="9" xr3:uid="{56223EF9-4B4D-4C59-AE9C-00CDF833DE11}" name="Category"/>
    <tableColumn id="10" xr3:uid="{DDA4CDE6-2613-4B73-87F8-4B42C593BD27}" name="Sub-Category"/>
    <tableColumn id="11" xr3:uid="{7FB9069C-8A01-403A-8B5F-71288345B765}" name="Product Name"/>
    <tableColumn id="12" xr3:uid="{FFD4C8C3-A50B-435B-96AF-D2D9B289F4B8}" name="Sales"/>
    <tableColumn id="13" xr3:uid="{C56519E4-0E2B-4A49-B505-B452059B336F}" name="Quantity"/>
    <tableColumn id="14" xr3:uid="{DE9B216C-F55F-4B3D-8F73-9565A478CB1B}" name="Discount"/>
    <tableColumn id="15" xr3:uid="{33FBE70B-E548-4588-9946-B3CA22873C83}"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095B3B-BE62-4E23-8E88-2E5A52FAFF7E}" sourceName="Order Date">
  <pivotTables>
    <pivotTable tabId="4" name="PivotTable7"/>
    <pivotTable tabId="4" name="PivotTable2"/>
    <pivotTable tabId="4" name="PivotTable4"/>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 tabId="4" name="PivotTable16"/>
    <pivotTable tabId="4" name="PivotTable3"/>
    <pivotTable tabId="4" name="PivotTable5"/>
  </pivotTables>
  <state minimalRefreshVersion="6" lastRefreshVersion="6" pivotCacheId="1264409750" filterType="dateBetween">
    <selection startDate="2016-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FF81EDC-F31C-48B6-93E8-2614A1DCF250}" cache="NativeTimeline_Order_Date" caption="Order Date" level="2" selectionLevel="0" scrollPosition="2016-01-01T00:00:00" style="TimeSlicerStyleLight6"/>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microsoft.com/office/2011/relationships/timeline" Target="../timelines/timeline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drawing" Target="../drawings/drawing1.xml"/><Relationship Id="rId2" Type="http://schemas.openxmlformats.org/officeDocument/2006/relationships/pivotTable" Target="../pivotTables/pivotTable3.xml"/><Relationship Id="rId16" Type="http://schemas.openxmlformats.org/officeDocument/2006/relationships/printerSettings" Target="../printerSettings/printerSettings1.bin"/><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8DB-3441-4BF7-A1FF-C26392C3C777}">
  <dimension ref="A1:O1001"/>
  <sheetViews>
    <sheetView workbookViewId="0">
      <selection activeCell="L29" sqref="A1:O1001"/>
    </sheetView>
  </sheetViews>
  <sheetFormatPr defaultRowHeight="12.75" x14ac:dyDescent="0.2"/>
  <cols>
    <col min="2" max="2" width="14.85546875" customWidth="1"/>
    <col min="3" max="3" width="12.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B18B-A15D-453C-9B0E-A4E75F5DB2BD}">
  <dimension ref="A3:L32"/>
  <sheetViews>
    <sheetView topLeftCell="A8" workbookViewId="0">
      <selection activeCell="R19" sqref="R19"/>
    </sheetView>
  </sheetViews>
  <sheetFormatPr defaultRowHeight="12.75" x14ac:dyDescent="0.2"/>
  <sheetData>
    <row r="3" spans="1:12" x14ac:dyDescent="0.2">
      <c r="A3" s="3"/>
      <c r="B3" s="4"/>
      <c r="C3" s="5"/>
    </row>
    <row r="4" spans="1:12" x14ac:dyDescent="0.2">
      <c r="A4" s="6"/>
      <c r="B4" s="7"/>
      <c r="C4" s="8"/>
    </row>
    <row r="5" spans="1:12" x14ac:dyDescent="0.2">
      <c r="A5" s="6"/>
      <c r="B5" s="7"/>
      <c r="C5" s="8"/>
    </row>
    <row r="6" spans="1:12" x14ac:dyDescent="0.2">
      <c r="A6" s="6"/>
      <c r="B6" s="7"/>
      <c r="C6" s="8"/>
    </row>
    <row r="7" spans="1:12" x14ac:dyDescent="0.2">
      <c r="A7" s="6"/>
      <c r="B7" s="7"/>
      <c r="C7" s="8"/>
    </row>
    <row r="8" spans="1:12" x14ac:dyDescent="0.2">
      <c r="A8" s="6"/>
      <c r="B8" s="7"/>
      <c r="C8" s="8"/>
    </row>
    <row r="9" spans="1:12" x14ac:dyDescent="0.2">
      <c r="A9" s="6"/>
      <c r="B9" s="7"/>
      <c r="C9" s="8"/>
    </row>
    <row r="10" spans="1:12" x14ac:dyDescent="0.2">
      <c r="A10" s="6"/>
      <c r="B10" s="7"/>
      <c r="C10" s="8"/>
    </row>
    <row r="11" spans="1:12" x14ac:dyDescent="0.2">
      <c r="A11" s="6"/>
      <c r="B11" s="7"/>
      <c r="C11" s="8"/>
    </row>
    <row r="12" spans="1:12" x14ac:dyDescent="0.2">
      <c r="A12" s="6"/>
      <c r="B12" s="7"/>
      <c r="C12" s="8"/>
    </row>
    <row r="13" spans="1:12" x14ac:dyDescent="0.2">
      <c r="A13" s="6"/>
      <c r="B13" s="7"/>
      <c r="C13" s="8"/>
    </row>
    <row r="14" spans="1:12" x14ac:dyDescent="0.2">
      <c r="A14" s="6"/>
      <c r="B14" s="7"/>
      <c r="C14" s="8"/>
    </row>
    <row r="15" spans="1:12" x14ac:dyDescent="0.2">
      <c r="A15" s="6"/>
      <c r="B15" s="7"/>
      <c r="C15" s="8"/>
      <c r="G15" t="s">
        <v>1863</v>
      </c>
      <c r="I15" t="s">
        <v>7</v>
      </c>
    </row>
    <row r="16" spans="1:12" x14ac:dyDescent="0.2">
      <c r="A16" s="6"/>
      <c r="B16" s="7"/>
      <c r="C16" s="8"/>
      <c r="G16" t="s">
        <v>1864</v>
      </c>
      <c r="H16" t="s">
        <v>1865</v>
      </c>
      <c r="I16" t="s">
        <v>73</v>
      </c>
      <c r="J16" t="s">
        <v>102</v>
      </c>
      <c r="K16" t="s">
        <v>20</v>
      </c>
      <c r="L16" t="s">
        <v>30</v>
      </c>
    </row>
    <row r="17" spans="1:12" x14ac:dyDescent="0.2">
      <c r="A17" s="6"/>
      <c r="B17" s="7"/>
      <c r="C17" s="8"/>
      <c r="G17" t="s">
        <v>1866</v>
      </c>
      <c r="H17" t="s">
        <v>1870</v>
      </c>
      <c r="I17">
        <v>797.50400000000002</v>
      </c>
      <c r="J17">
        <v>438.72</v>
      </c>
      <c r="K17">
        <v>1732.3280000000002</v>
      </c>
      <c r="L17">
        <v>587.13600000000008</v>
      </c>
    </row>
    <row r="18" spans="1:12" x14ac:dyDescent="0.2">
      <c r="A18" s="6"/>
      <c r="B18" s="7"/>
      <c r="C18" s="8"/>
      <c r="H18" t="s">
        <v>1871</v>
      </c>
      <c r="I18">
        <v>5031.8820000000005</v>
      </c>
      <c r="J18">
        <v>2835.3849999999993</v>
      </c>
      <c r="K18">
        <v>4109.5220000000008</v>
      </c>
      <c r="L18">
        <v>5292.3540000000003</v>
      </c>
    </row>
    <row r="19" spans="1:12" x14ac:dyDescent="0.2">
      <c r="A19" s="6"/>
      <c r="B19" s="7"/>
      <c r="C19" s="8"/>
      <c r="H19" t="s">
        <v>1872</v>
      </c>
      <c r="I19">
        <v>16964.928</v>
      </c>
      <c r="J19">
        <v>1420.01</v>
      </c>
      <c r="K19">
        <v>949.77400000000011</v>
      </c>
      <c r="L19">
        <v>7758.2640000000001</v>
      </c>
    </row>
    <row r="20" spans="1:12" x14ac:dyDescent="0.2">
      <c r="A20" s="9"/>
      <c r="B20" s="10"/>
      <c r="C20" s="11"/>
      <c r="H20" t="s">
        <v>1873</v>
      </c>
      <c r="I20">
        <v>4830.1000000000004</v>
      </c>
      <c r="J20">
        <v>6331.6039999999994</v>
      </c>
      <c r="K20">
        <v>969.64999999999986</v>
      </c>
      <c r="L20">
        <v>8478.108000000002</v>
      </c>
    </row>
    <row r="21" spans="1:12" x14ac:dyDescent="0.2">
      <c r="G21" t="s">
        <v>1867</v>
      </c>
      <c r="H21" t="s">
        <v>1870</v>
      </c>
      <c r="I21">
        <v>768.19799999999998</v>
      </c>
      <c r="J21">
        <v>1924.6780000000001</v>
      </c>
      <c r="K21">
        <v>8130.9539999999997</v>
      </c>
      <c r="L21">
        <v>987.17</v>
      </c>
    </row>
    <row r="22" spans="1:12" x14ac:dyDescent="0.2">
      <c r="H22" t="s">
        <v>1871</v>
      </c>
      <c r="I22">
        <v>509.22499999999991</v>
      </c>
      <c r="J22">
        <v>1133.222</v>
      </c>
      <c r="K22">
        <v>1881.6040000000003</v>
      </c>
      <c r="L22">
        <v>1380.9559999999999</v>
      </c>
    </row>
    <row r="23" spans="1:12" x14ac:dyDescent="0.2">
      <c r="H23" t="s">
        <v>1872</v>
      </c>
      <c r="I23">
        <v>4408.1310000000003</v>
      </c>
      <c r="J23">
        <v>4084.5300000000007</v>
      </c>
      <c r="K23">
        <v>566.89400000000001</v>
      </c>
      <c r="L23">
        <v>4862.1509999999998</v>
      </c>
    </row>
    <row r="24" spans="1:12" x14ac:dyDescent="0.2">
      <c r="H24" t="s">
        <v>1873</v>
      </c>
      <c r="I24">
        <v>4442.3572000000004</v>
      </c>
      <c r="J24">
        <v>4587.0780000000004</v>
      </c>
      <c r="K24">
        <v>2962.8890000000001</v>
      </c>
      <c r="L24">
        <v>3890.0919999999996</v>
      </c>
    </row>
    <row r="25" spans="1:12" x14ac:dyDescent="0.2">
      <c r="G25" t="s">
        <v>1868</v>
      </c>
      <c r="H25" t="s">
        <v>1870</v>
      </c>
      <c r="I25">
        <v>258.84800000000001</v>
      </c>
      <c r="J25">
        <v>1479.46</v>
      </c>
      <c r="K25">
        <v>458.74600000000004</v>
      </c>
      <c r="L25">
        <v>742.85100000000011</v>
      </c>
    </row>
    <row r="26" spans="1:12" x14ac:dyDescent="0.2">
      <c r="H26" t="s">
        <v>1871</v>
      </c>
      <c r="I26">
        <v>2871.2960000000003</v>
      </c>
      <c r="J26">
        <v>4307.17</v>
      </c>
      <c r="K26">
        <v>4429.862000000001</v>
      </c>
      <c r="L26">
        <v>8429.7289999999994</v>
      </c>
    </row>
    <row r="27" spans="1:12" x14ac:dyDescent="0.2">
      <c r="H27" t="s">
        <v>1872</v>
      </c>
      <c r="I27">
        <v>5227.0475999999999</v>
      </c>
      <c r="J27">
        <v>10095.397999999999</v>
      </c>
      <c r="K27">
        <v>753.40900000000011</v>
      </c>
      <c r="L27">
        <v>5544.2800000000007</v>
      </c>
    </row>
    <row r="28" spans="1:12" x14ac:dyDescent="0.2">
      <c r="H28" t="s">
        <v>1873</v>
      </c>
      <c r="I28">
        <v>7196.6100000000006</v>
      </c>
      <c r="J28">
        <v>6657.64</v>
      </c>
      <c r="K28">
        <v>2414.7059999999997</v>
      </c>
      <c r="L28">
        <v>4810.1560000000009</v>
      </c>
    </row>
    <row r="29" spans="1:12" x14ac:dyDescent="0.2">
      <c r="G29" t="s">
        <v>1869</v>
      </c>
      <c r="H29" t="s">
        <v>1870</v>
      </c>
      <c r="I29">
        <v>4115.4467999999997</v>
      </c>
      <c r="J29">
        <v>416.47200000000004</v>
      </c>
      <c r="K29">
        <v>668.54000000000008</v>
      </c>
      <c r="L29">
        <v>5123.8459999999986</v>
      </c>
    </row>
    <row r="30" spans="1:12" x14ac:dyDescent="0.2">
      <c r="H30" t="s">
        <v>1871</v>
      </c>
      <c r="I30">
        <v>1554.3369999999998</v>
      </c>
      <c r="J30">
        <v>3020.4079999999999</v>
      </c>
      <c r="K30">
        <v>2848.0264999999999</v>
      </c>
      <c r="L30">
        <v>4057.8110000000011</v>
      </c>
    </row>
    <row r="31" spans="1:12" x14ac:dyDescent="0.2">
      <c r="H31" t="s">
        <v>1872</v>
      </c>
      <c r="I31">
        <v>4700.5520000000006</v>
      </c>
      <c r="J31">
        <v>2655.1659999999997</v>
      </c>
      <c r="K31">
        <v>1466.9520000000002</v>
      </c>
      <c r="L31">
        <v>583.85</v>
      </c>
    </row>
    <row r="32" spans="1:12" x14ac:dyDescent="0.2">
      <c r="H32" t="s">
        <v>1873</v>
      </c>
      <c r="I32">
        <v>3333.3858000000014</v>
      </c>
      <c r="J32">
        <v>8104.7000000000007</v>
      </c>
      <c r="K32">
        <v>9220.101999999999</v>
      </c>
      <c r="L32">
        <v>8536.5659999999989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537A-4E9F-457C-8668-C8C72B845C8B}">
  <dimension ref="A1:O1001"/>
  <sheetViews>
    <sheetView topLeftCell="E1" zoomScale="126" zoomScaleNormal="126" workbookViewId="0">
      <selection activeCell="P16" sqref="P16"/>
    </sheetView>
  </sheetViews>
  <sheetFormatPr defaultRowHeight="12.75" x14ac:dyDescent="0.2"/>
  <cols>
    <col min="1" max="1" width="10.28515625" customWidth="1"/>
    <col min="2" max="2" width="14.85546875" customWidth="1"/>
    <col min="3" max="3" width="14.140625" customWidth="1"/>
    <col min="4" max="4" width="13.85546875" customWidth="1"/>
    <col min="5" max="5" width="19" customWidth="1"/>
    <col min="8" max="8" width="10.42578125" customWidth="1"/>
    <col min="9" max="9" width="12.28515625" customWidth="1"/>
    <col min="10" max="10" width="16.85546875" customWidth="1"/>
    <col min="11" max="11" width="17.28515625" customWidth="1"/>
    <col min="13" max="13" width="11.28515625" customWidth="1"/>
    <col min="14" max="14" width="11.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C91A-C57F-4881-B6EF-AF9363B009FE}">
  <dimension ref="A1:BC48"/>
  <sheetViews>
    <sheetView topLeftCell="AN3" zoomScaleNormal="100" workbookViewId="0">
      <selection activeCell="BC16" sqref="BC16"/>
    </sheetView>
  </sheetViews>
  <sheetFormatPr defaultRowHeight="12.75" x14ac:dyDescent="0.2"/>
  <cols>
    <col min="1" max="1" width="15.5703125" bestFit="1" customWidth="1"/>
    <col min="2" max="2" width="9.5703125" bestFit="1" customWidth="1"/>
    <col min="3" max="3" width="4.85546875" bestFit="1" customWidth="1"/>
    <col min="4" max="4" width="5.85546875" bestFit="1" customWidth="1"/>
    <col min="5" max="5" width="5.42578125" bestFit="1" customWidth="1"/>
    <col min="6" max="6" width="1.28515625" customWidth="1"/>
    <col min="7" max="7" width="1.42578125" customWidth="1"/>
    <col min="8" max="8" width="1.7109375" customWidth="1"/>
    <col min="9" max="9" width="1.5703125" customWidth="1"/>
    <col min="10" max="10" width="15.140625" bestFit="1" customWidth="1"/>
    <col min="11" max="11" width="12.28515625" bestFit="1" customWidth="1"/>
    <col min="12" max="12" width="15.5703125" bestFit="1" customWidth="1"/>
    <col min="13" max="15" width="1" customWidth="1"/>
    <col min="16" max="16" width="14.28515625" bestFit="1" customWidth="1"/>
    <col min="17" max="17" width="11.5703125" bestFit="1" customWidth="1"/>
    <col min="18" max="18" width="1.28515625" customWidth="1"/>
    <col min="19" max="19" width="1.85546875" customWidth="1"/>
    <col min="20" max="20" width="14.85546875" bestFit="1" customWidth="1"/>
    <col min="21" max="21" width="15.5703125" bestFit="1" customWidth="1"/>
    <col min="22" max="22" width="1.7109375" customWidth="1"/>
    <col min="23" max="23" width="2" customWidth="1"/>
    <col min="24" max="24" width="1.85546875" customWidth="1"/>
    <col min="25" max="25" width="12.7109375" bestFit="1" customWidth="1"/>
    <col min="26" max="26" width="21.85546875" bestFit="1" customWidth="1"/>
    <col min="27" max="29" width="10" bestFit="1" customWidth="1"/>
    <col min="30" max="30" width="9" bestFit="1" customWidth="1"/>
    <col min="31" max="31" width="2.85546875" customWidth="1"/>
    <col min="32" max="32" width="2.42578125" customWidth="1"/>
    <col min="33" max="33" width="9.5703125" bestFit="1" customWidth="1"/>
    <col min="34" max="34" width="12.28515625" bestFit="1" customWidth="1"/>
    <col min="35" max="35" width="11.5703125" bestFit="1" customWidth="1"/>
    <col min="36" max="38" width="14.85546875" bestFit="1" customWidth="1"/>
    <col min="39" max="39" width="12.28515625" bestFit="1" customWidth="1"/>
    <col min="40" max="40" width="14.85546875" bestFit="1" customWidth="1"/>
    <col min="41" max="42" width="11.5703125" bestFit="1" customWidth="1"/>
    <col min="43" max="43" width="14.85546875" bestFit="1" customWidth="1"/>
    <col min="44" max="45" width="13.28515625" bestFit="1" customWidth="1"/>
    <col min="46" max="46" width="14.85546875" bestFit="1" customWidth="1"/>
    <col min="47" max="49" width="15.5703125" bestFit="1" customWidth="1"/>
    <col min="50" max="50" width="12.28515625" bestFit="1" customWidth="1"/>
    <col min="51" max="53" width="14.85546875" bestFit="1" customWidth="1"/>
    <col min="54" max="54" width="18.5703125" bestFit="1" customWidth="1"/>
    <col min="55" max="55" width="12.28515625" bestFit="1" customWidth="1"/>
    <col min="56" max="56" width="11.5703125" bestFit="1" customWidth="1"/>
    <col min="57" max="443" width="14.85546875" bestFit="1" customWidth="1"/>
    <col min="444" max="525" width="15" bestFit="1" customWidth="1"/>
  </cols>
  <sheetData>
    <row r="1" spans="1:55" ht="299.25" customHeight="1" x14ac:dyDescent="0.2"/>
    <row r="3" spans="1:55" ht="76.5" customHeight="1" x14ac:dyDescent="0.2">
      <c r="AJ3" t="str">
        <f t="shared" ref="AJ3:AJ43" si="0">T4</f>
        <v>State</v>
      </c>
      <c r="AK3" t="str">
        <f t="shared" ref="AK3:AK43" si="1">U4</f>
        <v>Count of Order ID</v>
      </c>
    </row>
    <row r="4" spans="1:55" x14ac:dyDescent="0.2">
      <c r="A4" s="12" t="s">
        <v>1862</v>
      </c>
      <c r="B4" s="12" t="s">
        <v>7</v>
      </c>
      <c r="J4" s="12" t="s">
        <v>9</v>
      </c>
      <c r="K4" t="s">
        <v>1863</v>
      </c>
      <c r="L4" t="s">
        <v>1862</v>
      </c>
      <c r="P4" s="12" t="s">
        <v>3</v>
      </c>
      <c r="Q4" t="s">
        <v>1861</v>
      </c>
      <c r="T4" s="12" t="s">
        <v>6</v>
      </c>
      <c r="U4" t="s">
        <v>1862</v>
      </c>
      <c r="Y4" s="12" t="s">
        <v>1863</v>
      </c>
      <c r="AA4" s="12" t="s">
        <v>7</v>
      </c>
      <c r="AG4" s="12" t="s">
        <v>7</v>
      </c>
      <c r="AH4" t="s">
        <v>1863</v>
      </c>
      <c r="AJ4" t="str">
        <f t="shared" si="0"/>
        <v>Alabama</v>
      </c>
      <c r="AK4">
        <f t="shared" si="1"/>
        <v>4</v>
      </c>
    </row>
    <row r="5" spans="1:55" x14ac:dyDescent="0.2">
      <c r="A5" s="12" t="s">
        <v>8</v>
      </c>
      <c r="B5" t="s">
        <v>73</v>
      </c>
      <c r="C5" t="s">
        <v>102</v>
      </c>
      <c r="D5" t="s">
        <v>20</v>
      </c>
      <c r="E5" t="s">
        <v>30</v>
      </c>
      <c r="J5" t="s">
        <v>110</v>
      </c>
      <c r="K5" s="13">
        <v>20481.394000000004</v>
      </c>
      <c r="L5" s="26">
        <v>83</v>
      </c>
      <c r="P5" t="s">
        <v>127</v>
      </c>
      <c r="Q5" s="13">
        <v>4804.9780999999984</v>
      </c>
      <c r="T5" t="s">
        <v>235</v>
      </c>
      <c r="U5" s="26">
        <v>4</v>
      </c>
      <c r="Y5" s="12" t="s">
        <v>1864</v>
      </c>
      <c r="Z5" s="12" t="s">
        <v>1865</v>
      </c>
      <c r="AA5" t="s">
        <v>73</v>
      </c>
      <c r="AB5" t="s">
        <v>102</v>
      </c>
      <c r="AC5" t="s">
        <v>20</v>
      </c>
      <c r="AD5" t="s">
        <v>30</v>
      </c>
      <c r="AG5" t="s">
        <v>73</v>
      </c>
      <c r="AH5" s="13">
        <v>67009.848399999988</v>
      </c>
      <c r="AJ5" t="str">
        <f t="shared" si="0"/>
        <v>Arizona</v>
      </c>
      <c r="AK5">
        <f t="shared" si="1"/>
        <v>23</v>
      </c>
    </row>
    <row r="6" spans="1:55" x14ac:dyDescent="0.2">
      <c r="A6" t="s">
        <v>21</v>
      </c>
      <c r="B6" s="26">
        <v>49</v>
      </c>
      <c r="C6" s="26">
        <v>60</v>
      </c>
      <c r="D6" s="26">
        <v>35</v>
      </c>
      <c r="E6" s="26">
        <v>63</v>
      </c>
      <c r="J6" t="s">
        <v>54</v>
      </c>
      <c r="K6" s="13">
        <v>8369.8779999999988</v>
      </c>
      <c r="L6" s="26">
        <v>43</v>
      </c>
      <c r="P6" t="s">
        <v>807</v>
      </c>
      <c r="Q6" s="13">
        <v>-2832.7893999999987</v>
      </c>
      <c r="T6" t="s">
        <v>204</v>
      </c>
      <c r="U6" s="26">
        <v>23</v>
      </c>
      <c r="Y6" t="s">
        <v>1866</v>
      </c>
      <c r="Z6" t="s">
        <v>1870</v>
      </c>
      <c r="AA6" s="26">
        <v>797.50400000000002</v>
      </c>
      <c r="AB6" s="26">
        <v>438.72</v>
      </c>
      <c r="AC6" s="26">
        <v>1732.3280000000002</v>
      </c>
      <c r="AD6" s="26">
        <v>587.13600000000008</v>
      </c>
      <c r="AG6" t="s">
        <v>102</v>
      </c>
      <c r="AH6" s="13">
        <v>59491.641000000025</v>
      </c>
      <c r="AJ6" t="str">
        <f t="shared" si="0"/>
        <v>Arkansas</v>
      </c>
      <c r="AK6">
        <f t="shared" si="1"/>
        <v>2</v>
      </c>
    </row>
    <row r="7" spans="1:55" x14ac:dyDescent="0.2">
      <c r="A7" t="s">
        <v>31</v>
      </c>
      <c r="B7" s="26">
        <v>144</v>
      </c>
      <c r="C7" s="26">
        <v>201</v>
      </c>
      <c r="D7" s="26">
        <v>80</v>
      </c>
      <c r="E7" s="26">
        <v>178</v>
      </c>
      <c r="J7" t="s">
        <v>47</v>
      </c>
      <c r="K7" s="13">
        <v>3858.0840000000003</v>
      </c>
      <c r="L7" s="26">
        <v>81</v>
      </c>
      <c r="P7" t="s">
        <v>16</v>
      </c>
      <c r="Q7" s="13">
        <v>4278.337300000002</v>
      </c>
      <c r="T7" t="s">
        <v>1063</v>
      </c>
      <c r="U7" s="26">
        <v>2</v>
      </c>
      <c r="Z7" t="s">
        <v>1871</v>
      </c>
      <c r="AA7" s="26">
        <v>5031.8820000000005</v>
      </c>
      <c r="AB7" s="26">
        <v>2835.3849999999993</v>
      </c>
      <c r="AC7" s="26">
        <v>4109.5220000000008</v>
      </c>
      <c r="AD7" s="26">
        <v>5292.3540000000003</v>
      </c>
      <c r="AG7" t="s">
        <v>20</v>
      </c>
      <c r="AH7" s="13">
        <v>43563.958499999979</v>
      </c>
      <c r="AJ7" t="str">
        <f t="shared" si="0"/>
        <v>California</v>
      </c>
      <c r="AK7">
        <f t="shared" si="1"/>
        <v>183</v>
      </c>
      <c r="AO7" t="s">
        <v>1861</v>
      </c>
      <c r="AR7" t="s">
        <v>1874</v>
      </c>
      <c r="AX7" s="27"/>
      <c r="AY7" s="28"/>
      <c r="AZ7" s="29"/>
    </row>
    <row r="8" spans="1:55" x14ac:dyDescent="0.2">
      <c r="A8" t="s">
        <v>49</v>
      </c>
      <c r="B8" s="26">
        <v>52</v>
      </c>
      <c r="C8" s="26">
        <v>52</v>
      </c>
      <c r="D8" s="26">
        <v>26</v>
      </c>
      <c r="E8" s="26">
        <v>60</v>
      </c>
      <c r="J8" t="s">
        <v>52</v>
      </c>
      <c r="K8" s="13">
        <v>21412.52900000001</v>
      </c>
      <c r="L8" s="26">
        <v>145</v>
      </c>
      <c r="P8" t="s">
        <v>35</v>
      </c>
      <c r="Q8" s="13">
        <v>12495.653199999997</v>
      </c>
      <c r="T8" t="s">
        <v>29</v>
      </c>
      <c r="U8" s="26">
        <v>183</v>
      </c>
      <c r="Z8" t="s">
        <v>1872</v>
      </c>
      <c r="AA8" s="26">
        <v>16964.928</v>
      </c>
      <c r="AB8" s="26">
        <v>1420.01</v>
      </c>
      <c r="AC8" s="26">
        <v>949.77400000000011</v>
      </c>
      <c r="AD8" s="26">
        <v>7758.2640000000001</v>
      </c>
      <c r="AG8" t="s">
        <v>30</v>
      </c>
      <c r="AH8" s="13">
        <v>71065.319999999978</v>
      </c>
      <c r="AJ8" t="str">
        <f t="shared" si="0"/>
        <v>Colorado</v>
      </c>
      <c r="AK8">
        <f t="shared" si="1"/>
        <v>35</v>
      </c>
      <c r="AM8" t="s">
        <v>1863</v>
      </c>
      <c r="AO8" s="13">
        <v>18746.17919999998</v>
      </c>
      <c r="AR8" s="16">
        <v>7.7742792275161926E-2</v>
      </c>
      <c r="AU8" s="27"/>
      <c r="AV8" s="28"/>
      <c r="AW8" s="29"/>
      <c r="AX8" s="38"/>
      <c r="AY8" s="15"/>
      <c r="AZ8" s="39"/>
    </row>
    <row r="9" spans="1:55" x14ac:dyDescent="0.2">
      <c r="J9" t="s">
        <v>22</v>
      </c>
      <c r="K9" s="13">
        <v>13834.990400000002</v>
      </c>
      <c r="L9" s="26">
        <v>21</v>
      </c>
      <c r="T9" t="s">
        <v>297</v>
      </c>
      <c r="U9" s="26">
        <v>35</v>
      </c>
      <c r="Z9" t="s">
        <v>1873</v>
      </c>
      <c r="AA9" s="26">
        <v>4830.1000000000004</v>
      </c>
      <c r="AB9" s="26">
        <v>6331.6039999999994</v>
      </c>
      <c r="AC9" s="26">
        <v>969.64999999999986</v>
      </c>
      <c r="AD9" s="26">
        <v>8478.108000000002</v>
      </c>
      <c r="AJ9" t="str">
        <f t="shared" si="0"/>
        <v>Connecticut</v>
      </c>
      <c r="AK9">
        <f t="shared" si="1"/>
        <v>6</v>
      </c>
      <c r="AM9" s="14">
        <v>241130.76789999995</v>
      </c>
      <c r="AO9" s="27"/>
      <c r="AP9" s="28"/>
      <c r="AQ9" s="29"/>
      <c r="AU9" s="38"/>
      <c r="AV9" s="15"/>
      <c r="AW9" s="39"/>
      <c r="AX9" s="38"/>
      <c r="AY9" s="15"/>
      <c r="AZ9" s="39"/>
    </row>
    <row r="10" spans="1:55" x14ac:dyDescent="0.2">
      <c r="J10" t="s">
        <v>24</v>
      </c>
      <c r="K10" s="13">
        <v>30809.087999999989</v>
      </c>
      <c r="L10" s="26">
        <v>58</v>
      </c>
      <c r="T10" t="s">
        <v>477</v>
      </c>
      <c r="U10" s="26">
        <v>6</v>
      </c>
      <c r="Y10" t="s">
        <v>1867</v>
      </c>
      <c r="Z10" t="s">
        <v>1870</v>
      </c>
      <c r="AA10" s="26">
        <v>768.19799999999998</v>
      </c>
      <c r="AB10" s="26">
        <v>1924.6780000000001</v>
      </c>
      <c r="AC10" s="26">
        <v>8130.9539999999997</v>
      </c>
      <c r="AD10" s="26">
        <v>987.17</v>
      </c>
      <c r="AJ10" t="str">
        <f t="shared" si="0"/>
        <v>Delaware</v>
      </c>
      <c r="AK10">
        <f t="shared" si="1"/>
        <v>8</v>
      </c>
      <c r="AO10" s="38"/>
      <c r="AP10" s="15"/>
      <c r="AQ10" s="39"/>
      <c r="AU10" s="38"/>
      <c r="AV10" s="15"/>
      <c r="AW10" s="39"/>
      <c r="AX10" s="38"/>
      <c r="AY10" s="15"/>
      <c r="AZ10" s="39"/>
    </row>
    <row r="11" spans="1:55" x14ac:dyDescent="0.2">
      <c r="J11" t="s">
        <v>760</v>
      </c>
      <c r="K11" s="13">
        <v>9359.8320000000003</v>
      </c>
      <c r="L11" s="26">
        <v>6</v>
      </c>
      <c r="T11" t="s">
        <v>164</v>
      </c>
      <c r="U11" s="26">
        <v>8</v>
      </c>
      <c r="Z11" t="s">
        <v>1871</v>
      </c>
      <c r="AA11" s="26">
        <v>509.22499999999991</v>
      </c>
      <c r="AB11" s="26">
        <v>1133.222</v>
      </c>
      <c r="AC11" s="26">
        <v>1881.6040000000003</v>
      </c>
      <c r="AD11" s="26">
        <v>1380.9559999999999</v>
      </c>
      <c r="AJ11" t="str">
        <f t="shared" si="0"/>
        <v>Florida</v>
      </c>
      <c r="AK11">
        <f t="shared" si="1"/>
        <v>42</v>
      </c>
      <c r="AO11" s="38"/>
      <c r="AP11" s="15"/>
      <c r="AQ11" s="39"/>
      <c r="AU11" s="38"/>
      <c r="AV11" s="15"/>
      <c r="AW11" s="39"/>
      <c r="AX11" s="38"/>
      <c r="AY11" s="15"/>
      <c r="AZ11" s="39"/>
    </row>
    <row r="12" spans="1:55" x14ac:dyDescent="0.2">
      <c r="J12" t="s">
        <v>117</v>
      </c>
      <c r="K12" s="13">
        <v>2109.3320000000003</v>
      </c>
      <c r="L12" s="26">
        <v>30</v>
      </c>
      <c r="T12" t="s">
        <v>38</v>
      </c>
      <c r="U12" s="26">
        <v>42</v>
      </c>
      <c r="Z12" t="s">
        <v>1872</v>
      </c>
      <c r="AA12" s="26">
        <v>4408.1310000000003</v>
      </c>
      <c r="AB12" s="26">
        <v>4084.5300000000007</v>
      </c>
      <c r="AC12" s="26">
        <v>566.89400000000001</v>
      </c>
      <c r="AD12" s="26">
        <v>4862.1509999999998</v>
      </c>
      <c r="AJ12" t="str">
        <f t="shared" si="0"/>
        <v>Georgia</v>
      </c>
      <c r="AK12">
        <f t="shared" si="1"/>
        <v>8</v>
      </c>
      <c r="AO12" s="38"/>
      <c r="AP12" s="15"/>
      <c r="AQ12" s="39"/>
      <c r="AU12" s="38"/>
      <c r="AV12" s="15"/>
      <c r="AW12" s="39"/>
      <c r="AX12" s="38"/>
      <c r="AY12" s="15"/>
      <c r="AZ12" s="39"/>
      <c r="BB12" s="12" t="s">
        <v>4</v>
      </c>
      <c r="BC12" t="s">
        <v>1863</v>
      </c>
    </row>
    <row r="13" spans="1:55" x14ac:dyDescent="0.2">
      <c r="J13" t="s">
        <v>179</v>
      </c>
      <c r="K13" s="13">
        <v>381.66</v>
      </c>
      <c r="L13" s="26">
        <v>21</v>
      </c>
      <c r="T13" t="s">
        <v>796</v>
      </c>
      <c r="U13" s="26">
        <v>8</v>
      </c>
      <c r="Z13" t="s">
        <v>1873</v>
      </c>
      <c r="AA13" s="26">
        <v>4442.3572000000004</v>
      </c>
      <c r="AB13" s="26">
        <v>4587.0780000000004</v>
      </c>
      <c r="AC13" s="26">
        <v>2962.8890000000001</v>
      </c>
      <c r="AD13" s="26">
        <v>3890.0919999999996</v>
      </c>
      <c r="AJ13" t="str">
        <f t="shared" si="0"/>
        <v>Illinois</v>
      </c>
      <c r="AK13">
        <f t="shared" si="1"/>
        <v>52</v>
      </c>
      <c r="AO13" s="38"/>
      <c r="AP13" s="15"/>
      <c r="AQ13" s="39"/>
      <c r="AU13" s="38"/>
      <c r="AV13" s="15"/>
      <c r="AW13" s="39"/>
      <c r="AX13" s="38"/>
      <c r="AY13" s="15"/>
      <c r="AZ13" s="39"/>
      <c r="BB13" t="s">
        <v>435</v>
      </c>
      <c r="BC13" s="13">
        <v>10539.895999999999</v>
      </c>
    </row>
    <row r="14" spans="1:55" x14ac:dyDescent="0.2">
      <c r="J14" t="s">
        <v>45</v>
      </c>
      <c r="K14" s="13">
        <v>10256.893999999997</v>
      </c>
      <c r="L14" s="26">
        <v>95</v>
      </c>
      <c r="T14" t="s">
        <v>141</v>
      </c>
      <c r="U14" s="26">
        <v>52</v>
      </c>
      <c r="Y14" t="s">
        <v>1868</v>
      </c>
      <c r="Z14" t="s">
        <v>1870</v>
      </c>
      <c r="AA14" s="26">
        <v>258.84800000000001</v>
      </c>
      <c r="AB14" s="26">
        <v>1479.46</v>
      </c>
      <c r="AC14" s="26">
        <v>458.74600000000004</v>
      </c>
      <c r="AD14" s="26">
        <v>742.85100000000011</v>
      </c>
      <c r="AJ14" t="str">
        <f t="shared" si="0"/>
        <v>Indiana</v>
      </c>
      <c r="AK14">
        <f t="shared" si="1"/>
        <v>10</v>
      </c>
      <c r="AO14" s="38"/>
      <c r="AP14" s="15"/>
      <c r="AQ14" s="39"/>
      <c r="AU14" s="38"/>
      <c r="AV14" s="15"/>
      <c r="AW14" s="39"/>
      <c r="AX14" s="38"/>
      <c r="AY14" s="15"/>
      <c r="AZ14" s="39"/>
      <c r="BB14" t="s">
        <v>1376</v>
      </c>
      <c r="BC14" s="13">
        <v>8167.4199999999992</v>
      </c>
    </row>
    <row r="15" spans="1:55" x14ac:dyDescent="0.2">
      <c r="J15" t="s">
        <v>32</v>
      </c>
      <c r="K15" s="13">
        <v>1534.34</v>
      </c>
      <c r="L15" s="26">
        <v>41</v>
      </c>
      <c r="T15" t="s">
        <v>170</v>
      </c>
      <c r="U15" s="26">
        <v>10</v>
      </c>
      <c r="Z15" t="s">
        <v>1871</v>
      </c>
      <c r="AA15" s="26">
        <v>2871.2960000000003</v>
      </c>
      <c r="AB15" s="26">
        <v>4307.17</v>
      </c>
      <c r="AC15" s="26">
        <v>4429.862000000001</v>
      </c>
      <c r="AD15" s="26">
        <v>8429.7289999999994</v>
      </c>
      <c r="AJ15" t="str">
        <f t="shared" si="0"/>
        <v>Iowa</v>
      </c>
      <c r="AK15">
        <f t="shared" si="1"/>
        <v>8</v>
      </c>
      <c r="AO15" s="38"/>
      <c r="AP15" s="15"/>
      <c r="AQ15" s="39"/>
      <c r="AU15" s="38"/>
      <c r="AV15" s="15"/>
      <c r="AW15" s="39"/>
      <c r="AX15" s="38"/>
      <c r="AY15" s="15"/>
      <c r="AZ15" s="39"/>
      <c r="BB15" t="s">
        <v>1080</v>
      </c>
      <c r="BC15" s="13">
        <v>6412.7699999999995</v>
      </c>
    </row>
    <row r="16" spans="1:55" x14ac:dyDescent="0.2">
      <c r="J16" t="s">
        <v>438</v>
      </c>
      <c r="K16" s="13">
        <v>32622.115999999995</v>
      </c>
      <c r="L16" s="26">
        <v>13</v>
      </c>
      <c r="T16" t="s">
        <v>317</v>
      </c>
      <c r="U16" s="26">
        <v>8</v>
      </c>
      <c r="Z16" t="s">
        <v>1872</v>
      </c>
      <c r="AA16" s="26">
        <v>5227.0475999999999</v>
      </c>
      <c r="AB16" s="26">
        <v>10095.397999999999</v>
      </c>
      <c r="AC16" s="26">
        <v>753.40900000000011</v>
      </c>
      <c r="AD16" s="26">
        <v>5544.2800000000007</v>
      </c>
      <c r="AJ16" t="str">
        <f t="shared" si="0"/>
        <v>Kentucky</v>
      </c>
      <c r="AK16">
        <f t="shared" si="1"/>
        <v>18</v>
      </c>
      <c r="AO16" s="38"/>
      <c r="AP16" s="15"/>
      <c r="AQ16" s="39"/>
      <c r="AU16" s="38"/>
      <c r="AV16" s="15"/>
      <c r="AW16" s="39"/>
      <c r="AX16" s="38"/>
      <c r="AY16" s="15"/>
      <c r="AZ16" s="39"/>
      <c r="BB16" t="s">
        <v>618</v>
      </c>
      <c r="BC16" s="13">
        <v>5579.94</v>
      </c>
    </row>
    <row r="17" spans="10:55" x14ac:dyDescent="0.2">
      <c r="J17" t="s">
        <v>62</v>
      </c>
      <c r="K17" s="13">
        <v>6386.2399999999971</v>
      </c>
      <c r="L17" s="26">
        <v>127</v>
      </c>
      <c r="T17" t="s">
        <v>19</v>
      </c>
      <c r="U17" s="26">
        <v>18</v>
      </c>
      <c r="Z17" t="s">
        <v>1873</v>
      </c>
      <c r="AA17" s="26">
        <v>7196.6100000000006</v>
      </c>
      <c r="AB17" s="26">
        <v>6657.64</v>
      </c>
      <c r="AC17" s="26">
        <v>2414.7059999999997</v>
      </c>
      <c r="AD17" s="26">
        <v>4810.1560000000009</v>
      </c>
      <c r="AJ17" t="str">
        <f t="shared" si="0"/>
        <v>Louisiana</v>
      </c>
      <c r="AK17">
        <f t="shared" si="1"/>
        <v>9</v>
      </c>
      <c r="AO17" s="38"/>
      <c r="AP17" s="15"/>
      <c r="AQ17" s="39"/>
      <c r="AU17" s="38"/>
      <c r="AV17" s="15"/>
      <c r="AW17" s="39"/>
      <c r="AX17" s="38"/>
      <c r="AY17" s="15"/>
      <c r="AZ17" s="39"/>
      <c r="BB17" t="s">
        <v>729</v>
      </c>
      <c r="BC17" s="13">
        <v>4807.3719999999994</v>
      </c>
    </row>
    <row r="18" spans="10:55" x14ac:dyDescent="0.2">
      <c r="J18" t="s">
        <v>50</v>
      </c>
      <c r="K18" s="13">
        <v>31036.5</v>
      </c>
      <c r="L18" s="26">
        <v>88</v>
      </c>
      <c r="T18" t="s">
        <v>470</v>
      </c>
      <c r="U18" s="26">
        <v>9</v>
      </c>
      <c r="Y18" t="s">
        <v>1869</v>
      </c>
      <c r="Z18" t="s">
        <v>1870</v>
      </c>
      <c r="AA18" s="26">
        <v>4115.4467999999997</v>
      </c>
      <c r="AB18" s="26">
        <v>416.47200000000004</v>
      </c>
      <c r="AC18" s="26">
        <v>668.54000000000008</v>
      </c>
      <c r="AD18" s="26">
        <v>5123.8459999999986</v>
      </c>
      <c r="AJ18" t="str">
        <f t="shared" si="0"/>
        <v>Maryland</v>
      </c>
      <c r="AK18">
        <f t="shared" si="1"/>
        <v>1</v>
      </c>
      <c r="AO18" s="38"/>
      <c r="AP18" s="15"/>
      <c r="AQ18" s="39"/>
      <c r="AU18" s="38"/>
      <c r="AV18" s="15"/>
      <c r="AW18" s="39"/>
      <c r="AX18" s="38"/>
      <c r="AY18" s="15"/>
      <c r="AZ18" s="39"/>
    </row>
    <row r="19" spans="10:55" x14ac:dyDescent="0.2">
      <c r="J19" t="s">
        <v>41</v>
      </c>
      <c r="K19" s="13">
        <v>21809.635999999999</v>
      </c>
      <c r="L19" s="26">
        <v>95</v>
      </c>
      <c r="T19" t="s">
        <v>1699</v>
      </c>
      <c r="U19" s="26">
        <v>1</v>
      </c>
      <c r="Z19" t="s">
        <v>1871</v>
      </c>
      <c r="AA19" s="26">
        <v>1554.3369999999998</v>
      </c>
      <c r="AB19" s="26">
        <v>3020.4079999999999</v>
      </c>
      <c r="AC19" s="26">
        <v>2848.0264999999999</v>
      </c>
      <c r="AD19" s="26">
        <v>4057.8110000000011</v>
      </c>
      <c r="AJ19" t="str">
        <f t="shared" si="0"/>
        <v>Massachusetts</v>
      </c>
      <c r="AK19">
        <f t="shared" si="1"/>
        <v>8</v>
      </c>
      <c r="AO19" s="38"/>
      <c r="AP19" s="15"/>
      <c r="AQ19" s="39"/>
      <c r="AU19" s="38"/>
      <c r="AV19" s="15"/>
      <c r="AW19" s="39"/>
      <c r="AX19" s="38"/>
      <c r="AY19" s="15"/>
      <c r="AZ19" s="39"/>
    </row>
    <row r="20" spans="10:55" x14ac:dyDescent="0.2">
      <c r="J20" t="s">
        <v>371</v>
      </c>
      <c r="K20" s="13">
        <v>2391.6480000000006</v>
      </c>
      <c r="L20" s="26">
        <v>20</v>
      </c>
      <c r="T20" t="s">
        <v>780</v>
      </c>
      <c r="U20" s="26">
        <v>8</v>
      </c>
      <c r="Z20" t="s">
        <v>1872</v>
      </c>
      <c r="AA20" s="26">
        <v>4700.5520000000006</v>
      </c>
      <c r="AB20" s="26">
        <v>2655.1659999999997</v>
      </c>
      <c r="AC20" s="26">
        <v>1466.9520000000002</v>
      </c>
      <c r="AD20" s="26">
        <v>583.85</v>
      </c>
      <c r="AJ20" t="str">
        <f t="shared" si="0"/>
        <v>Michigan</v>
      </c>
      <c r="AK20">
        <f t="shared" si="1"/>
        <v>42</v>
      </c>
      <c r="AO20" s="38"/>
      <c r="AP20" s="15"/>
      <c r="AQ20" s="39"/>
      <c r="AU20" s="38"/>
      <c r="AV20" s="15"/>
      <c r="AW20" s="39"/>
      <c r="AX20" s="38"/>
      <c r="AY20" s="15"/>
      <c r="AZ20" s="39"/>
    </row>
    <row r="21" spans="10:55" x14ac:dyDescent="0.2">
      <c r="J21" t="s">
        <v>39</v>
      </c>
      <c r="K21" s="13">
        <v>24476.606499999994</v>
      </c>
      <c r="L21" s="26">
        <v>33</v>
      </c>
      <c r="T21" t="s">
        <v>159</v>
      </c>
      <c r="U21" s="26">
        <v>42</v>
      </c>
      <c r="Z21" t="s">
        <v>1873</v>
      </c>
      <c r="AA21" s="26">
        <v>3333.3858000000014</v>
      </c>
      <c r="AB21" s="26">
        <v>8104.7000000000007</v>
      </c>
      <c r="AC21" s="26">
        <v>9220.101999999999</v>
      </c>
      <c r="AD21" s="26">
        <v>8536.5659999999989</v>
      </c>
      <c r="AJ21" t="str">
        <f t="shared" si="0"/>
        <v>Minnesota</v>
      </c>
      <c r="AK21">
        <f t="shared" si="1"/>
        <v>21</v>
      </c>
      <c r="AO21" s="38"/>
      <c r="AP21" s="15"/>
      <c r="AQ21" s="39"/>
      <c r="AU21" s="38"/>
      <c r="AV21" s="15"/>
      <c r="AW21" s="39"/>
      <c r="AX21" s="38"/>
      <c r="AY21" s="15"/>
      <c r="AZ21" s="39"/>
    </row>
    <row r="22" spans="10:55" x14ac:dyDescent="0.2">
      <c r="T22" t="s">
        <v>153</v>
      </c>
      <c r="U22" s="26">
        <v>21</v>
      </c>
      <c r="AJ22" t="str">
        <f t="shared" si="0"/>
        <v>Mississippi</v>
      </c>
      <c r="AK22">
        <f t="shared" si="1"/>
        <v>6</v>
      </c>
      <c r="AO22" s="38"/>
      <c r="AP22" s="15"/>
      <c r="AQ22" s="39"/>
      <c r="AU22" s="38"/>
      <c r="AV22" s="15"/>
      <c r="AW22" s="39"/>
      <c r="AX22" s="38"/>
      <c r="AY22" s="15"/>
      <c r="AZ22" s="39"/>
    </row>
    <row r="23" spans="10:55" x14ac:dyDescent="0.2">
      <c r="T23" t="s">
        <v>930</v>
      </c>
      <c r="U23" s="26">
        <v>6</v>
      </c>
      <c r="AJ23" t="str">
        <f t="shared" si="0"/>
        <v>Missouri</v>
      </c>
      <c r="AK23">
        <f t="shared" si="1"/>
        <v>3</v>
      </c>
      <c r="AO23" s="38"/>
      <c r="AP23" s="15"/>
      <c r="AQ23" s="39"/>
      <c r="AU23" s="38"/>
      <c r="AV23" s="15"/>
      <c r="AW23" s="39"/>
      <c r="AX23" s="38"/>
      <c r="AY23" s="15"/>
      <c r="AZ23" s="39"/>
    </row>
    <row r="24" spans="10:55" x14ac:dyDescent="0.2">
      <c r="T24" t="s">
        <v>383</v>
      </c>
      <c r="U24" s="26">
        <v>3</v>
      </c>
      <c r="AJ24" t="str">
        <f t="shared" si="0"/>
        <v>Montana</v>
      </c>
      <c r="AK24">
        <f t="shared" si="1"/>
        <v>4</v>
      </c>
      <c r="AO24" s="38"/>
      <c r="AP24" s="15"/>
      <c r="AQ24" s="39"/>
      <c r="AU24" s="38"/>
      <c r="AV24" s="15"/>
      <c r="AW24" s="39"/>
      <c r="AX24" s="40"/>
      <c r="AY24" s="41"/>
      <c r="AZ24" s="42"/>
    </row>
    <row r="25" spans="10:55" x14ac:dyDescent="0.2">
      <c r="T25" t="s">
        <v>1098</v>
      </c>
      <c r="U25" s="26">
        <v>4</v>
      </c>
      <c r="AJ25" t="str">
        <f t="shared" si="0"/>
        <v>Nebraska</v>
      </c>
      <c r="AK25">
        <f t="shared" si="1"/>
        <v>4</v>
      </c>
      <c r="AO25" s="38"/>
      <c r="AP25" s="15"/>
      <c r="AQ25" s="39"/>
      <c r="AU25" s="40"/>
      <c r="AV25" s="41"/>
      <c r="AW25" s="42"/>
    </row>
    <row r="26" spans="10:55" x14ac:dyDescent="0.2">
      <c r="T26" t="s">
        <v>95</v>
      </c>
      <c r="U26" s="26">
        <v>4</v>
      </c>
      <c r="AJ26" t="str">
        <f t="shared" si="0"/>
        <v>Nevada</v>
      </c>
      <c r="AK26">
        <f t="shared" si="1"/>
        <v>1</v>
      </c>
      <c r="AO26" s="40"/>
      <c r="AP26" s="41"/>
      <c r="AQ26" s="42"/>
    </row>
    <row r="27" spans="10:55" x14ac:dyDescent="0.2">
      <c r="T27" t="s">
        <v>870</v>
      </c>
      <c r="U27" s="26">
        <v>1</v>
      </c>
      <c r="AJ27" t="str">
        <f t="shared" si="0"/>
        <v>New Hampshire</v>
      </c>
      <c r="AK27">
        <f t="shared" si="1"/>
        <v>4</v>
      </c>
    </row>
    <row r="28" spans="10:55" x14ac:dyDescent="0.2">
      <c r="T28" t="s">
        <v>1672</v>
      </c>
      <c r="U28" s="26">
        <v>4</v>
      </c>
      <c r="AJ28" t="str">
        <f t="shared" si="0"/>
        <v>New Jersey</v>
      </c>
      <c r="AK28">
        <f t="shared" si="1"/>
        <v>16</v>
      </c>
    </row>
    <row r="29" spans="10:55" x14ac:dyDescent="0.2">
      <c r="T29" t="s">
        <v>503</v>
      </c>
      <c r="U29" s="26">
        <v>16</v>
      </c>
      <c r="AJ29" t="str">
        <f t="shared" si="0"/>
        <v>New Mexico</v>
      </c>
      <c r="AK29">
        <f t="shared" si="1"/>
        <v>2</v>
      </c>
    </row>
    <row r="30" spans="10:55" x14ac:dyDescent="0.2">
      <c r="T30" t="s">
        <v>429</v>
      </c>
      <c r="U30" s="26">
        <v>2</v>
      </c>
      <c r="AJ30" t="str">
        <f t="shared" si="0"/>
        <v>New York</v>
      </c>
      <c r="AK30">
        <f t="shared" si="1"/>
        <v>135</v>
      </c>
      <c r="AU30" s="16" t="s">
        <v>1862</v>
      </c>
    </row>
    <row r="31" spans="10:55" x14ac:dyDescent="0.2">
      <c r="T31" t="s">
        <v>178</v>
      </c>
      <c r="U31" s="26">
        <v>135</v>
      </c>
      <c r="AJ31" t="str">
        <f t="shared" si="0"/>
        <v>North Carolina</v>
      </c>
      <c r="AK31">
        <f t="shared" si="1"/>
        <v>22</v>
      </c>
      <c r="AU31" s="17">
        <v>1000</v>
      </c>
      <c r="AW31" s="30"/>
      <c r="AX31" s="31"/>
      <c r="AY31" s="32"/>
    </row>
    <row r="32" spans="10:55" x14ac:dyDescent="0.2">
      <c r="T32" t="s">
        <v>61</v>
      </c>
      <c r="U32" s="26">
        <v>22</v>
      </c>
      <c r="AJ32" t="str">
        <f t="shared" si="0"/>
        <v>Ohio</v>
      </c>
      <c r="AK32">
        <f t="shared" si="1"/>
        <v>54</v>
      </c>
      <c r="AW32" s="33"/>
      <c r="AX32" s="18"/>
      <c r="AY32" s="34"/>
    </row>
    <row r="33" spans="20:51" x14ac:dyDescent="0.2">
      <c r="T33" t="s">
        <v>323</v>
      </c>
      <c r="U33" s="26">
        <v>54</v>
      </c>
      <c r="AJ33" t="str">
        <f t="shared" si="0"/>
        <v>Oklahoma</v>
      </c>
      <c r="AK33">
        <f t="shared" si="1"/>
        <v>3</v>
      </c>
      <c r="AW33" s="33"/>
      <c r="AX33" s="18"/>
      <c r="AY33" s="34"/>
    </row>
    <row r="34" spans="20:51" x14ac:dyDescent="0.2">
      <c r="T34" t="s">
        <v>417</v>
      </c>
      <c r="U34" s="26">
        <v>3</v>
      </c>
      <c r="AJ34" t="str">
        <f t="shared" si="0"/>
        <v>Oregon</v>
      </c>
      <c r="AK34">
        <f t="shared" si="1"/>
        <v>9</v>
      </c>
      <c r="AW34" s="33"/>
      <c r="AX34" s="18"/>
      <c r="AY34" s="34"/>
    </row>
    <row r="35" spans="20:51" x14ac:dyDescent="0.2">
      <c r="T35" t="s">
        <v>274</v>
      </c>
      <c r="U35" s="26">
        <v>9</v>
      </c>
      <c r="AJ35" t="str">
        <f t="shared" si="0"/>
        <v>Pennsylvania</v>
      </c>
      <c r="AK35">
        <f t="shared" si="1"/>
        <v>79</v>
      </c>
      <c r="AW35" s="33"/>
      <c r="AX35" s="18"/>
      <c r="AY35" s="34"/>
    </row>
    <row r="36" spans="20:51" x14ac:dyDescent="0.2">
      <c r="T36" t="s">
        <v>101</v>
      </c>
      <c r="U36" s="26">
        <v>79</v>
      </c>
      <c r="AJ36" t="str">
        <f t="shared" si="0"/>
        <v>Rhode Island</v>
      </c>
      <c r="AK36">
        <f t="shared" si="1"/>
        <v>2</v>
      </c>
      <c r="AW36" s="33"/>
      <c r="AX36" s="18"/>
      <c r="AY36" s="34"/>
    </row>
    <row r="37" spans="20:51" x14ac:dyDescent="0.2">
      <c r="T37" t="s">
        <v>875</v>
      </c>
      <c r="U37" s="26">
        <v>2</v>
      </c>
      <c r="AJ37" t="str">
        <f t="shared" si="0"/>
        <v>South Carolina</v>
      </c>
      <c r="AK37">
        <f t="shared" si="1"/>
        <v>2</v>
      </c>
      <c r="AW37" s="33"/>
      <c r="AX37" s="18"/>
      <c r="AY37" s="34"/>
    </row>
    <row r="38" spans="20:51" x14ac:dyDescent="0.2">
      <c r="T38" t="s">
        <v>251</v>
      </c>
      <c r="U38" s="26">
        <v>2</v>
      </c>
      <c r="AJ38" t="str">
        <f t="shared" si="0"/>
        <v>Tennessee</v>
      </c>
      <c r="AK38">
        <f t="shared" si="1"/>
        <v>10</v>
      </c>
      <c r="AW38" s="33"/>
      <c r="AX38" s="18"/>
      <c r="AY38" s="34"/>
    </row>
    <row r="39" spans="20:51" x14ac:dyDescent="0.2">
      <c r="T39" t="s">
        <v>221</v>
      </c>
      <c r="U39" s="26">
        <v>10</v>
      </c>
      <c r="AJ39" t="str">
        <f t="shared" si="0"/>
        <v>Texas</v>
      </c>
      <c r="AK39">
        <f t="shared" si="1"/>
        <v>92</v>
      </c>
      <c r="AW39" s="33"/>
      <c r="AX39" s="18"/>
      <c r="AY39" s="34"/>
    </row>
    <row r="40" spans="20:51" x14ac:dyDescent="0.2">
      <c r="T40" t="s">
        <v>72</v>
      </c>
      <c r="U40" s="26">
        <v>92</v>
      </c>
      <c r="AJ40" t="str">
        <f t="shared" si="0"/>
        <v>Utah</v>
      </c>
      <c r="AK40">
        <f t="shared" si="1"/>
        <v>5</v>
      </c>
      <c r="AW40" s="33"/>
      <c r="AX40" s="18"/>
      <c r="AY40" s="34"/>
    </row>
    <row r="41" spans="20:51" x14ac:dyDescent="0.2">
      <c r="T41" t="s">
        <v>84</v>
      </c>
      <c r="U41" s="26">
        <v>5</v>
      </c>
      <c r="AJ41" t="str">
        <f t="shared" si="0"/>
        <v>Virginia</v>
      </c>
      <c r="AK41">
        <f t="shared" si="1"/>
        <v>18</v>
      </c>
      <c r="AW41" s="33"/>
      <c r="AX41" s="18"/>
      <c r="AY41" s="34"/>
    </row>
    <row r="42" spans="20:51" x14ac:dyDescent="0.2">
      <c r="T42" t="s">
        <v>210</v>
      </c>
      <c r="U42" s="26">
        <v>18</v>
      </c>
      <c r="AJ42" t="str">
        <f t="shared" si="0"/>
        <v>Washington</v>
      </c>
      <c r="AK42">
        <f t="shared" si="1"/>
        <v>39</v>
      </c>
      <c r="AW42" s="33"/>
      <c r="AX42" s="18"/>
      <c r="AY42" s="34"/>
    </row>
    <row r="43" spans="20:51" x14ac:dyDescent="0.2">
      <c r="T43" t="s">
        <v>67</v>
      </c>
      <c r="U43" s="26">
        <v>39</v>
      </c>
      <c r="AJ43" t="str">
        <f t="shared" si="0"/>
        <v>Wisconsin</v>
      </c>
      <c r="AK43">
        <f t="shared" si="1"/>
        <v>10</v>
      </c>
      <c r="AW43" s="33"/>
      <c r="AX43" s="18"/>
      <c r="AY43" s="34"/>
    </row>
    <row r="44" spans="20:51" x14ac:dyDescent="0.2">
      <c r="T44" t="s">
        <v>79</v>
      </c>
      <c r="U44" s="26">
        <v>10</v>
      </c>
      <c r="AW44" s="33"/>
      <c r="AX44" s="18"/>
      <c r="AY44" s="34"/>
    </row>
    <row r="45" spans="20:51" x14ac:dyDescent="0.2">
      <c r="AW45" s="33"/>
      <c r="AX45" s="18"/>
      <c r="AY45" s="34"/>
    </row>
    <row r="46" spans="20:51" x14ac:dyDescent="0.2">
      <c r="AW46" s="33"/>
      <c r="AX46" s="18"/>
      <c r="AY46" s="34"/>
    </row>
    <row r="47" spans="20:51" x14ac:dyDescent="0.2">
      <c r="AW47" s="33"/>
      <c r="AX47" s="18"/>
      <c r="AY47" s="34"/>
    </row>
    <row r="48" spans="20:51" x14ac:dyDescent="0.2">
      <c r="AW48" s="35"/>
      <c r="AX48" s="36"/>
      <c r="AY48" s="37"/>
    </row>
  </sheetData>
  <pageMargins left="0.7" right="0.7" top="0.75" bottom="0.75" header="0.3" footer="0.3"/>
  <pageSetup orientation="portrait" r:id="rId16"/>
  <drawing r:id="rId17"/>
  <extLst>
    <ext xmlns:x15="http://schemas.microsoft.com/office/spreadsheetml/2010/11/main" uri="{7E03D99C-DC04-49d9-9315-930204A7B6E9}">
      <x15:timelineRefs>
        <x15:timelineRef r:id="rId1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8AA4-D874-499C-8D4E-1A8E05E570BC}">
  <dimension ref="J2:AC49"/>
  <sheetViews>
    <sheetView tabSelected="1" zoomScale="85" zoomScaleNormal="85" workbookViewId="0"/>
  </sheetViews>
  <sheetFormatPr defaultColWidth="9.140625" defaultRowHeight="12.75" x14ac:dyDescent="0.2"/>
  <cols>
    <col min="1" max="1" width="6.5703125" style="19" customWidth="1"/>
    <col min="2" max="9" width="9.140625" style="19"/>
    <col min="10" max="10" width="9.140625" style="19" customWidth="1"/>
    <col min="11" max="11" width="9.42578125" style="19" bestFit="1" customWidth="1"/>
    <col min="12" max="16384" width="9.140625" style="19"/>
  </cols>
  <sheetData>
    <row r="2" spans="10:29" ht="12.75" customHeight="1" x14ac:dyDescent="0.2">
      <c r="J2" s="23">
        <f>GETPIVOTDATA("Sales",'PT TABLE'!$AM$8)</f>
        <v>241130.76789999995</v>
      </c>
      <c r="K2" s="23"/>
      <c r="P2" s="23">
        <f>GETPIVOTDATA("Profit",'PT TABLE'!$AO$7)</f>
        <v>18746.17919999998</v>
      </c>
      <c r="Q2" s="23"/>
      <c r="V2" s="24">
        <f>GETPIVOTDATA("Order ID",'PT TABLE'!$AU$30)</f>
        <v>1000</v>
      </c>
      <c r="W2" s="24"/>
      <c r="AB2" s="25">
        <f>GETPIVOTDATA("Margin",'PT TABLE'!$AR$7)</f>
        <v>7.7742792275161926E-2</v>
      </c>
      <c r="AC2" s="25"/>
    </row>
    <row r="3" spans="10:29" ht="12.75" customHeight="1" x14ac:dyDescent="0.2">
      <c r="J3" s="23"/>
      <c r="K3" s="23"/>
      <c r="P3" s="23"/>
      <c r="Q3" s="23"/>
      <c r="V3" s="24"/>
      <c r="W3" s="24"/>
      <c r="AB3" s="25"/>
      <c r="AC3" s="25"/>
    </row>
    <row r="4" spans="10:29" ht="19.5" x14ac:dyDescent="0.2">
      <c r="V4" s="20"/>
    </row>
    <row r="47" spans="11:11" x14ac:dyDescent="0.2">
      <c r="K47" s="21"/>
    </row>
    <row r="49" spans="21:21" ht="23.25" x14ac:dyDescent="0.35">
      <c r="U49" s="22"/>
    </row>
  </sheetData>
  <mergeCells count="4">
    <mergeCell ref="J2:K3"/>
    <mergeCell ref="P2:Q3"/>
    <mergeCell ref="V2:W3"/>
    <mergeCell ref="AB2:AC3"/>
  </mergeCells>
  <conditionalFormatting sqref="AB2:AC3">
    <cfRule type="cellIs" dxfId="8" priority="1" operator="lessThan">
      <formula>0.01</formula>
    </cfRule>
    <cfRule type="cellIs" dxfId="7" priority="2" operator="greaterThan">
      <formula>0.01</formula>
    </cfRule>
    <cfRule type="cellIs" dxfId="6" priority="3" operator="greaterThan">
      <formula>1</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F6F0-37A9-49E9-BC0F-B71B26C208D2}">
  <dimension ref="J2:AC49"/>
  <sheetViews>
    <sheetView zoomScale="85" zoomScaleNormal="85" workbookViewId="0"/>
  </sheetViews>
  <sheetFormatPr defaultColWidth="9.140625" defaultRowHeight="12.75" x14ac:dyDescent="0.2"/>
  <cols>
    <col min="1" max="1" width="6.5703125" style="19" customWidth="1"/>
    <col min="2" max="9" width="9.140625" style="19"/>
    <col min="10" max="10" width="9.140625" style="19" customWidth="1"/>
    <col min="11" max="11" width="9.42578125" style="19" bestFit="1" customWidth="1"/>
    <col min="12" max="16384" width="9.140625" style="19"/>
  </cols>
  <sheetData>
    <row r="2" spans="10:29" ht="12.75" customHeight="1" x14ac:dyDescent="0.2">
      <c r="J2" s="23">
        <f>GETPIVOTDATA("Sales",'PT TABLE'!$AM$8)</f>
        <v>241130.76789999995</v>
      </c>
      <c r="K2" s="23"/>
      <c r="P2" s="23">
        <f>GETPIVOTDATA("Profit",'PT TABLE'!$AO$7)</f>
        <v>18746.17919999998</v>
      </c>
      <c r="Q2" s="23"/>
      <c r="V2" s="24">
        <f>GETPIVOTDATA("Order ID",'PT TABLE'!$AU$30)</f>
        <v>1000</v>
      </c>
      <c r="W2" s="24"/>
      <c r="AB2" s="25">
        <f>GETPIVOTDATA("Margin",'PT TABLE'!$AR$7)</f>
        <v>7.7742792275161926E-2</v>
      </c>
      <c r="AC2" s="25"/>
    </row>
    <row r="3" spans="10:29" ht="12.75" customHeight="1" x14ac:dyDescent="0.2">
      <c r="J3" s="23"/>
      <c r="K3" s="23"/>
      <c r="P3" s="23"/>
      <c r="Q3" s="23"/>
      <c r="V3" s="24"/>
      <c r="W3" s="24"/>
      <c r="AB3" s="25"/>
      <c r="AC3" s="25"/>
    </row>
    <row r="4" spans="10:29" ht="19.5" x14ac:dyDescent="0.2">
      <c r="V4" s="20"/>
    </row>
    <row r="47" spans="11:11" x14ac:dyDescent="0.2">
      <c r="K47" s="21"/>
    </row>
    <row r="49" spans="21:21" ht="23.25" x14ac:dyDescent="0.35">
      <c r="U49" s="22"/>
    </row>
  </sheetData>
  <mergeCells count="4">
    <mergeCell ref="J2:K3"/>
    <mergeCell ref="P2:Q3"/>
    <mergeCell ref="V2:W3"/>
    <mergeCell ref="AB2:AC3"/>
  </mergeCells>
  <conditionalFormatting sqref="AB2:AC3">
    <cfRule type="cellIs" dxfId="5" priority="1" operator="lessThan">
      <formula>0.01</formula>
    </cfRule>
    <cfRule type="cellIs" dxfId="4" priority="2" operator="greaterThan">
      <formula>0.01</formula>
    </cfRule>
    <cfRule type="cellIs" dxfId="3" priority="3" operator="greaterThan">
      <formula>1</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198E-CFF6-4380-BDA9-74E2D7062014}">
  <dimension ref="J2:AC49"/>
  <sheetViews>
    <sheetView zoomScale="85" zoomScaleNormal="85" workbookViewId="0"/>
  </sheetViews>
  <sheetFormatPr defaultColWidth="9.140625" defaultRowHeight="12.75" x14ac:dyDescent="0.2"/>
  <cols>
    <col min="1" max="1" width="6.5703125" style="19" customWidth="1"/>
    <col min="2" max="9" width="9.140625" style="19"/>
    <col min="10" max="10" width="9.140625" style="19" customWidth="1"/>
    <col min="11" max="11" width="9.42578125" style="19" bestFit="1" customWidth="1"/>
    <col min="12" max="16384" width="9.140625" style="19"/>
  </cols>
  <sheetData>
    <row r="2" spans="10:29" ht="12.75" customHeight="1" x14ac:dyDescent="0.2">
      <c r="J2" s="23">
        <f>GETPIVOTDATA("Sales",'PT TABLE'!$AM$8)</f>
        <v>241130.76789999995</v>
      </c>
      <c r="K2" s="23"/>
      <c r="P2" s="23">
        <f>GETPIVOTDATA("Profit",'PT TABLE'!$AO$7)</f>
        <v>18746.17919999998</v>
      </c>
      <c r="Q2" s="23"/>
      <c r="V2" s="24">
        <f>GETPIVOTDATA("Order ID",'PT TABLE'!$AU$30)</f>
        <v>1000</v>
      </c>
      <c r="W2" s="24"/>
      <c r="AB2" s="25">
        <f>GETPIVOTDATA("Margin",'PT TABLE'!$AR$7)</f>
        <v>7.7742792275161926E-2</v>
      </c>
      <c r="AC2" s="25"/>
    </row>
    <row r="3" spans="10:29" ht="12.75" customHeight="1" x14ac:dyDescent="0.2">
      <c r="J3" s="23"/>
      <c r="K3" s="23"/>
      <c r="P3" s="23"/>
      <c r="Q3" s="23"/>
      <c r="V3" s="24"/>
      <c r="W3" s="24"/>
      <c r="AB3" s="25"/>
      <c r="AC3" s="25"/>
    </row>
    <row r="4" spans="10:29" ht="19.5" x14ac:dyDescent="0.2">
      <c r="V4" s="20"/>
    </row>
    <row r="47" spans="11:11" x14ac:dyDescent="0.2">
      <c r="K47" s="21"/>
    </row>
    <row r="49" spans="21:21" ht="23.25" x14ac:dyDescent="0.35">
      <c r="U49" s="22"/>
    </row>
  </sheetData>
  <mergeCells count="4">
    <mergeCell ref="J2:K3"/>
    <mergeCell ref="P2:Q3"/>
    <mergeCell ref="V2:W3"/>
    <mergeCell ref="AB2:AC3"/>
  </mergeCells>
  <conditionalFormatting sqref="AB2:AC3">
    <cfRule type="cellIs" dxfId="2" priority="1" operator="lessThan">
      <formula>0.01</formula>
    </cfRule>
    <cfRule type="cellIs" dxfId="1" priority="2" operator="greaterThan">
      <formula>0.01</formula>
    </cfRule>
    <cfRule type="cellIs" dxfId="0" priority="3" operator="greaterThan">
      <formula>1</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range</vt:lpstr>
      <vt:lpstr>PT RANGE</vt:lpstr>
      <vt:lpstr>table</vt:lpstr>
      <vt:lpstr>PT TABLE</vt:lpstr>
      <vt:lpstr>dashbord home</vt:lpstr>
      <vt:lpstr>dashbord details</vt:lpstr>
      <vt:lpstr> dashbord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ibrahim atya</cp:lastModifiedBy>
  <dcterms:created xsi:type="dcterms:W3CDTF">2025-09-26T23:59:03Z</dcterms:created>
  <dcterms:modified xsi:type="dcterms:W3CDTF">2026-03-02T10:11:28Z</dcterms:modified>
</cp:coreProperties>
</file>